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ink/ink1.xml" ContentType="application/inkml+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novo\OneDrive\Desktop\Excel_Project\"/>
    </mc:Choice>
  </mc:AlternateContent>
  <xr:revisionPtr revIDLastSave="0" documentId="13_ncr:1_{F0EC1B41-BFD1-4E28-B2FE-765177B527BE}" xr6:coauthVersionLast="47" xr6:coauthVersionMax="47" xr10:uidLastSave="{00000000-0000-0000-0000-000000000000}"/>
  <bookViews>
    <workbookView xWindow="-108" yWindow="-108" windowWidth="23256" windowHeight="12456" activeTab="1" xr2:uid="{5D5F9F90-641A-4665-B757-BC67126B4865}"/>
  </bookViews>
  <sheets>
    <sheet name="Pivot Report" sheetId="1" r:id="rId1"/>
    <sheet name="Dashboard" sheetId="2" r:id="rId2"/>
    <sheet name="Daily ER No of PT"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1418" r:id="rId6"/>
    <pivotCache cacheId="1421" r:id="rId7"/>
    <pivotCache cacheId="1424" r:id="rId8"/>
    <pivotCache cacheId="1427" r:id="rId9"/>
    <pivotCache cacheId="1430" r:id="rId10"/>
    <pivotCache cacheId="1433" r:id="rId11"/>
    <pivotCache cacheId="1436" r:id="rId12"/>
    <pivotCache cacheId="1439" r:id="rId13"/>
    <pivotCache cacheId="1442" r:id="rId14"/>
    <pivotCache cacheId="1445" r:id="rId15"/>
    <pivotCache cacheId="1448" r:id="rId16"/>
    <pivotCache cacheId="1451" r:id="rId17"/>
  </pivotCaches>
  <extLst>
    <ext xmlns:x14="http://schemas.microsoft.com/office/spreadsheetml/2009/9/main" uri="{876F7934-8845-4945-9796-88D515C7AA90}">
      <x14:pivotCaches>
        <pivotCache cacheId="95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e69bbd3-f351-40f4-b641-e6526488747a" name="Hospital Emergency Room Data" connection="Query - Hospital Emergency Room Data"/>
          <x15:modelTable id="Calendar_Table_5fa3e8a0-8d32-4c21-b414-f55cc3836ff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1" l="1"/>
  <c r="B45" i="1"/>
  <c r="C46" i="1"/>
  <c r="B46" i="1"/>
  <c r="A45"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5422F-36BA-4370-849F-A0413EF0ACE0}" name="Query - Calendar_Table" description="Connection to the 'Calendar_Table' query in the workbook." type="100" refreshedVersion="8" minRefreshableVersion="5">
    <extLst>
      <ext xmlns:x15="http://schemas.microsoft.com/office/spreadsheetml/2010/11/main" uri="{DE250136-89BD-433C-8126-D09CA5730AF9}">
        <x15:connection id="2269d080-6bdd-4b49-9a17-63b1e50f9cdf"/>
      </ext>
    </extLst>
  </connection>
  <connection id="2" xr16:uid="{B3D30272-FE16-445D-B227-2804C8F81A2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41c999d-30fd-456a-a5cc-69c0c40df5ea"/>
      </ext>
    </extLst>
  </connection>
  <connection id="3" xr16:uid="{71C3783E-4036-42FC-877F-EC7E53BB880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<sst xmlns="http://schemas.openxmlformats.org/spreadsheetml/2006/main" count="156" uniqueCount="78">
  <si>
    <t>Distinct Count of Patient Id</t>
  </si>
  <si>
    <t>Number of patient</t>
  </si>
  <si>
    <t>Average of Patient Waittime</t>
  </si>
  <si>
    <t>Average of Patient Satisfaction Score</t>
  </si>
  <si>
    <t xml:space="preserve"> </t>
  </si>
  <si>
    <t>Row Labels</t>
  </si>
  <si>
    <t>Grand Total</t>
  </si>
  <si>
    <t>Daily Trends of no of patient</t>
  </si>
  <si>
    <t>Average Wait time</t>
  </si>
  <si>
    <t>Stisfaction score daily trend</t>
  </si>
  <si>
    <t>Admitted</t>
  </si>
  <si>
    <t>Not Admitted</t>
  </si>
  <si>
    <t>Count of Patient Admission Flag</t>
  </si>
  <si>
    <t>Count of Patient Id</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</si>
  <si>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</si>
  <si>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</si>
  <si>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</si>
  <si>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</si>
  <si>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</si>
  <si>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</si>
  <si>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</si>
  <si>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</si>
  <si>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</si>
  <si>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</si>
  <si>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</si>
  <si>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</si>
  <si>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</si>
  <si>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</si>
  <si>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</si>
  <si>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</si>
  <si>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</si>
  <si>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</si>
  <si>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</si>
  <si>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</si>
  <si>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</si>
  <si>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</si>
  <si>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</si>
  <si>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</si>
  <si>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</si>
  <si>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</si>
  <si>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</si>
  <si>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</si>
  <si>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</si>
  <si>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</si>
  <si>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Count of Patient Admission Flag2</t>
  </si>
  <si>
    <t>Admission  Status</t>
  </si>
  <si>
    <t>No. of Patient</t>
  </si>
  <si>
    <t>%Status</t>
  </si>
  <si>
    <t>0-9</t>
  </si>
  <si>
    <t>10-19</t>
  </si>
  <si>
    <t>20-29</t>
  </si>
  <si>
    <t>30-39</t>
  </si>
  <si>
    <t>40-49</t>
  </si>
  <si>
    <t>50-59</t>
  </si>
  <si>
    <t>60-69</t>
  </si>
  <si>
    <t>70-79</t>
  </si>
  <si>
    <t>Count of Age Group</t>
  </si>
  <si>
    <t>Age Group wise analysis</t>
  </si>
  <si>
    <t>Ontime</t>
  </si>
  <si>
    <t>Delay</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</si>
  <si>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</si>
  <si>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</si>
  <si>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</si>
  <si>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</si>
  <si>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</si>
  <si>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</si>
  <si>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</si>
  <si>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</si>
  <si>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</si>
  <si>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</si>
  <si>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</si>
  <si>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</si>
  <si>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</si>
  <si>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</si>
  <si>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</si>
  <si>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</si>
  <si>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Calendar</t>
  </si>
  <si>
    <t>Department wise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</si>
</sst>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2"/>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0" fillId="3" borderId="0" xfId="0" applyFill="1" applyBorder="1"/>
    <xf numFmtId="0" fontId="0" fillId="4" borderId="0" xfId="0" applyFill="1" applyBorder="1"/>
    <xf numFmtId="0" fontId="0" fillId="4" borderId="0" xfId="0" applyFill="1" applyBorder="1" applyAlignment="1">
      <alignment horizontal="center"/>
    </xf>
    <xf numFmtId="9" fontId="0" fillId="4" borderId="0" xfId="1" applyFont="1" applyFill="1" applyBorder="1" applyAlignment="1">
      <alignment horizontal="center"/>
    </xf>
    <xf numFmtId="0" fontId="2" fillId="3" borderId="0" xfId="0" applyFont="1" applyFill="1" applyBorder="1" applyAlignment="1">
      <alignment horizontal="center"/>
    </xf>
    <xf numFmtId="0" fontId="0" fillId="0" borderId="0" xfId="0" applyNumberFormat="1"/>
  </cellXfs>
  <cellStyles count="2">
    <cellStyle name="Normal" xfId="0" builtinId="0"/>
    <cellStyle name="Percent" xfId="1" builtinId="5"/>
  </cellStyles>
  <dxfs count="181">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border diagonalUp="0" diagonalDown="0">
        <left/>
        <right/>
        <top/>
        <bottom/>
        <vertical/>
        <horizontal/>
      </border>
    </dxf>
  </dxfs>
  <tableStyles count="1" defaultTableStyle="TableStyleMedium2" defaultPivotStyle="PivotStyleLight16">
    <tableStyle name="MyStyle" pivot="0" table="0" count="10" xr9:uid="{348ACA74-3FCB-469E-9A8F-93B94FEF79FD}">
      <tableStyleElement type="wholeTable" dxfId="180"/>
      <tableStyleElement type="headerRow" dxfId="17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Report!PivotTable8</c:name>
    <c:fmtId val="4"/>
  </c:pivotSource>
  <c:chart>
    <c:autoTitleDeleted val="0"/>
    <c:pivotFmts>
      <c:pivotFmt>
        <c:idx val="0"/>
        <c:spPr>
          <a:solidFill>
            <a:schemeClr val="accent1"/>
          </a:solidFill>
          <a:ln w="53975" cap="sq">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pivotFmt>
      <c:pivotFmt>
        <c:idx val="2"/>
        <c:spPr>
          <a:solidFill>
            <a:schemeClr val="accent1"/>
          </a:solidFill>
          <a:ln w="53975" cap="sq">
            <a:solidFill>
              <a:schemeClr val="accen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0C9195-25D9-400A-8248-170F8C157135}"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53975" cap="sq">
            <a:solidFill>
              <a:schemeClr val="accen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5C664B-952C-489E-AC25-073451DB2AC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 Report'!$C$38:$C$39</c:f>
              <c:strCache>
                <c:ptCount val="1"/>
                <c:pt idx="0">
                  <c:v>Count of Patient Admission Flag</c:v>
                </c:pt>
              </c:strCache>
            </c:strRef>
          </c:tx>
          <c:spPr>
            <a:solidFill>
              <a:schemeClr val="accent1"/>
            </a:solidFill>
            <a:ln w="53975" cap="sq">
              <a:solidFill>
                <a:schemeClr val="accent1"/>
              </a:solidFill>
            </a:ln>
            <a:effectLst/>
          </c:spPr>
          <c:invertIfNegative val="0"/>
          <c:dLbls>
            <c:dLbl>
              <c:idx val="0"/>
              <c:tx>
                <c:rich>
                  <a:bodyPr/>
                  <a:lstStyle/>
                  <a:p>
                    <a:fld id="{9C0C9195-25D9-400A-8248-170F8C15713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50-4138-912D-2A4FCE66F1BC}"/>
                </c:ext>
              </c:extLst>
            </c:dLbl>
            <c:dLbl>
              <c:idx val="1"/>
              <c:tx>
                <c:rich>
                  <a:bodyPr/>
                  <a:lstStyle/>
                  <a:p>
                    <a:fld id="{675C664B-952C-489E-AC25-073451DB2AC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50-4138-912D-2A4FCE66F1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Report'!$C$38:$C$39</c:f>
              <c:strCache>
                <c:ptCount val="2"/>
                <c:pt idx="0">
                  <c:v>Admitted</c:v>
                </c:pt>
                <c:pt idx="1">
                  <c:v>Not Admitted</c:v>
                </c:pt>
              </c:strCache>
            </c:strRef>
          </c:cat>
          <c:val>
            <c:numRef>
              <c:f>'Pivot Report'!$C$38:$C$39</c:f>
              <c:numCache>
                <c:formatCode>0</c:formatCode>
                <c:ptCount val="2"/>
                <c:pt idx="0">
                  <c:v>237</c:v>
                </c:pt>
                <c:pt idx="1">
                  <c:v>242</c:v>
                </c:pt>
              </c:numCache>
            </c:numRef>
          </c:val>
          <c:extLst>
            <c:ext xmlns:c15="http://schemas.microsoft.com/office/drawing/2012/chart" uri="{02D57815-91ED-43cb-92C2-25804820EDAC}">
              <c15:datalabelsRange>
                <c15:f>'Pivot Report'!$C$38:$C$39</c15:f>
                <c15:dlblRangeCache>
                  <c:ptCount val="2"/>
                  <c:pt idx="0">
                    <c:v>49.48%</c:v>
                  </c:pt>
                  <c:pt idx="1">
                    <c:v>50.52%</c:v>
                  </c:pt>
                </c15:dlblRangeCache>
              </c15:datalabelsRange>
            </c:ext>
            <c:ext xmlns:c16="http://schemas.microsoft.com/office/drawing/2014/chart" uri="{C3380CC4-5D6E-409C-BE32-E72D297353CC}">
              <c16:uniqueId val="{00000005-BF50-4138-912D-2A4FCE66F1BC}"/>
            </c:ext>
          </c:extLst>
        </c:ser>
        <c:ser>
          <c:idx val="1"/>
          <c:order val="1"/>
          <c:tx>
            <c:strRef>
              <c:f>'Pivot Report'!$C$38:$C$39</c:f>
              <c:strCache>
                <c:ptCount val="1"/>
                <c:pt idx="0">
                  <c:v>Count of Patient Admission Flag2</c:v>
                </c:pt>
              </c:strCache>
            </c:strRef>
          </c:tx>
          <c:spPr>
            <a:solidFill>
              <a:schemeClr val="accent2"/>
            </a:solidFill>
            <a:ln>
              <a:noFill/>
            </a:ln>
            <a:effectLst/>
          </c:spPr>
          <c:invertIfNegative val="0"/>
          <c:dLbls>
            <c:delete val="1"/>
          </c:dLbls>
          <c:cat>
            <c:strRef>
              <c:f>'Pivot Report'!$C$38:$C$39</c:f>
              <c:strCache>
                <c:ptCount val="2"/>
                <c:pt idx="0">
                  <c:v>Admitted</c:v>
                </c:pt>
                <c:pt idx="1">
                  <c:v>Not Admitted</c:v>
                </c:pt>
              </c:strCache>
            </c:strRef>
          </c:cat>
          <c:val>
            <c:numRef>
              <c:f>'Pivot Report'!$C$38:$C$39</c:f>
              <c:numCache>
                <c:formatCode>0.00%</c:formatCode>
                <c:ptCount val="2"/>
                <c:pt idx="0">
                  <c:v>0.49478079331941544</c:v>
                </c:pt>
                <c:pt idx="1">
                  <c:v>0.50521920668058451</c:v>
                </c:pt>
              </c:numCache>
            </c:numRef>
          </c:val>
          <c:extLst>
            <c:ext xmlns:c16="http://schemas.microsoft.com/office/drawing/2014/chart" uri="{C3380CC4-5D6E-409C-BE32-E72D297353CC}">
              <c16:uniqueId val="{00000006-BF50-4138-912D-2A4FCE66F1BC}"/>
            </c:ext>
          </c:extLst>
        </c:ser>
        <c:dLbls>
          <c:dLblPos val="outEnd"/>
          <c:showLegendKey val="0"/>
          <c:showVal val="1"/>
          <c:showCatName val="0"/>
          <c:showSerName val="0"/>
          <c:showPercent val="0"/>
          <c:showBubbleSize val="0"/>
        </c:dLbls>
        <c:gapWidth val="178"/>
        <c:axId val="277942527"/>
        <c:axId val="277942047"/>
      </c:barChart>
      <c:catAx>
        <c:axId val="277942527"/>
        <c:scaling>
          <c:orientation val="minMax"/>
        </c:scaling>
        <c:delete val="0"/>
        <c:axPos val="l"/>
        <c:numFmt formatCode="General" sourceLinked="1"/>
        <c:majorTickMark val="none"/>
        <c:minorTickMark val="none"/>
        <c:tickLblPos val="nextTo"/>
        <c:spPr>
          <a:noFill/>
          <a:ln w="25400" cap="flat" cmpd="sng" algn="ctr">
            <a:solidFill>
              <a:schemeClr val="tx1">
                <a:lumMod val="15000"/>
                <a:lumOff val="85000"/>
                <a:alpha val="96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42047"/>
        <c:crosses val="autoZero"/>
        <c:auto val="1"/>
        <c:lblAlgn val="ctr"/>
        <c:lblOffset val="100"/>
        <c:noMultiLvlLbl val="0"/>
      </c:catAx>
      <c:valAx>
        <c:axId val="277942047"/>
        <c:scaling>
          <c:orientation val="minMax"/>
        </c:scaling>
        <c:delete val="1"/>
        <c:axPos val="b"/>
        <c:numFmt formatCode="0" sourceLinked="1"/>
        <c:majorTickMark val="none"/>
        <c:minorTickMark val="none"/>
        <c:tickLblPos val="nextTo"/>
        <c:crossAx val="27794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7354720065785E-3"/>
          <c:y val="2.9781277340332458E-2"/>
          <c:w val="0.99220264527993418"/>
          <c:h val="0.97021872265966758"/>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C716-4078-8DFE-55676D84EA25}"/>
            </c:ext>
          </c:extLst>
        </c:ser>
        <c:dLbls>
          <c:showLegendKey val="0"/>
          <c:showVal val="0"/>
          <c:showCatName val="0"/>
          <c:showSerName val="0"/>
          <c:showPercent val="0"/>
          <c:showBubbleSize val="0"/>
        </c:dLbls>
        <c:axId val="980984095"/>
        <c:axId val="980986495"/>
      </c:areaChart>
      <c:catAx>
        <c:axId val="980984095"/>
        <c:scaling>
          <c:orientation val="minMax"/>
        </c:scaling>
        <c:delete val="1"/>
        <c:axPos val="b"/>
        <c:numFmt formatCode="General" sourceLinked="1"/>
        <c:majorTickMark val="out"/>
        <c:minorTickMark val="none"/>
        <c:tickLblPos val="nextTo"/>
        <c:crossAx val="980986495"/>
        <c:crosses val="autoZero"/>
        <c:auto val="1"/>
        <c:lblAlgn val="ctr"/>
        <c:lblOffset val="100"/>
        <c:noMultiLvlLbl val="0"/>
      </c:catAx>
      <c:valAx>
        <c:axId val="980986495"/>
        <c:scaling>
          <c:orientation val="minMax"/>
        </c:scaling>
        <c:delete val="1"/>
        <c:axPos val="l"/>
        <c:numFmt formatCode="General" sourceLinked="1"/>
        <c:majorTickMark val="none"/>
        <c:minorTickMark val="none"/>
        <c:tickLblPos val="nextTo"/>
        <c:crossAx val="98098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615F-4A77-82ED-EE696B62049F}"/>
            </c:ext>
          </c:extLst>
        </c:ser>
        <c:dLbls>
          <c:showLegendKey val="0"/>
          <c:showVal val="0"/>
          <c:showCatName val="0"/>
          <c:showSerName val="0"/>
          <c:showPercent val="0"/>
          <c:showBubbleSize val="0"/>
        </c:dLbls>
        <c:axId val="783885296"/>
        <c:axId val="783884816"/>
      </c:areaChart>
      <c:catAx>
        <c:axId val="783885296"/>
        <c:scaling>
          <c:orientation val="minMax"/>
        </c:scaling>
        <c:delete val="1"/>
        <c:axPos val="b"/>
        <c:numFmt formatCode="General" sourceLinked="1"/>
        <c:majorTickMark val="out"/>
        <c:minorTickMark val="none"/>
        <c:tickLblPos val="nextTo"/>
        <c:crossAx val="783884816"/>
        <c:crosses val="autoZero"/>
        <c:auto val="1"/>
        <c:lblAlgn val="ctr"/>
        <c:lblOffset val="100"/>
        <c:noMultiLvlLbl val="0"/>
      </c:catAx>
      <c:valAx>
        <c:axId val="783884816"/>
        <c:scaling>
          <c:orientation val="minMax"/>
        </c:scaling>
        <c:delete val="1"/>
        <c:axPos val="l"/>
        <c:numFmt formatCode="0.00" sourceLinked="1"/>
        <c:majorTickMark val="none"/>
        <c:minorTickMark val="none"/>
        <c:tickLblPos val="nextTo"/>
        <c:crossAx val="783885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19435070616166E-3"/>
          <c:y val="0"/>
          <c:w val="0.99154805649293842"/>
          <c:h val="1"/>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3A74-423A-A27C-E7E1C5BDEC4C}"/>
            </c:ext>
          </c:extLst>
        </c:ser>
        <c:dLbls>
          <c:showLegendKey val="0"/>
          <c:showVal val="0"/>
          <c:showCatName val="0"/>
          <c:showSerName val="0"/>
          <c:showPercent val="0"/>
          <c:showBubbleSize val="0"/>
        </c:dLbls>
        <c:axId val="83312576"/>
        <c:axId val="83306816"/>
      </c:areaChart>
      <c:catAx>
        <c:axId val="83312576"/>
        <c:scaling>
          <c:orientation val="minMax"/>
        </c:scaling>
        <c:delete val="1"/>
        <c:axPos val="b"/>
        <c:numFmt formatCode="General" sourceLinked="1"/>
        <c:majorTickMark val="out"/>
        <c:minorTickMark val="none"/>
        <c:tickLblPos val="nextTo"/>
        <c:crossAx val="83306816"/>
        <c:crosses val="autoZero"/>
        <c:auto val="1"/>
        <c:lblAlgn val="ctr"/>
        <c:lblOffset val="100"/>
        <c:noMultiLvlLbl val="0"/>
      </c:catAx>
      <c:valAx>
        <c:axId val="83306816"/>
        <c:scaling>
          <c:orientation val="minMax"/>
        </c:scaling>
        <c:delete val="1"/>
        <c:axPos val="l"/>
        <c:numFmt formatCode="0.00" sourceLinked="1"/>
        <c:majorTickMark val="none"/>
        <c:minorTickMark val="none"/>
        <c:tickLblPos val="nextTo"/>
        <c:crossAx val="83312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233349382048685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dLbl>
              <c:idx val="5"/>
              <c:layout>
                <c:manualLayout>
                  <c:x val="0"/>
                  <c:y val="-3.2333493820486854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2-E636-443A-803D-00AF356E1E71}"/>
            </c:ext>
          </c:extLst>
        </c:ser>
        <c:dLbls>
          <c:dLblPos val="outEnd"/>
          <c:showLegendKey val="0"/>
          <c:showVal val="1"/>
          <c:showCatName val="0"/>
          <c:showSerName val="0"/>
          <c:showPercent val="0"/>
          <c:showBubbleSize val="0"/>
        </c:dLbls>
        <c:gapWidth val="219"/>
        <c:overlap val="-27"/>
        <c:axId val="1527463375"/>
        <c:axId val="1527464815"/>
      </c:barChart>
      <c:catAx>
        <c:axId val="15274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464815"/>
        <c:crosses val="autoZero"/>
        <c:auto val="1"/>
        <c:lblAlgn val="ctr"/>
        <c:lblOffset val="100"/>
        <c:noMultiLvlLbl val="0"/>
      </c:catAx>
      <c:valAx>
        <c:axId val="1527464815"/>
        <c:scaling>
          <c:orientation val="minMax"/>
        </c:scaling>
        <c:delete val="1"/>
        <c:axPos val="l"/>
        <c:numFmt formatCode="0" sourceLinked="1"/>
        <c:majorTickMark val="none"/>
        <c:minorTickMark val="none"/>
        <c:tickLblPos val="nextTo"/>
        <c:crossAx val="152746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Report!PivotTable9</c:name>
    <c:fmtId val="14"/>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2516090891552001"/>
          <c:y val="0.24821287582954565"/>
          <c:w val="0.56833796024753669"/>
          <c:h val="0.62609564048396393"/>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273</c:v>
                </c:pt>
                <c:pt idx="1">
                  <c:v>206</c:v>
                </c:pt>
              </c:numCache>
            </c:numRef>
          </c:val>
          <c:extLst>
            <c:ext xmlns:c16="http://schemas.microsoft.com/office/drawing/2014/chart" uri="{C3380CC4-5D6E-409C-BE32-E72D297353CC}">
              <c16:uniqueId val="{00000005-5B01-4FC5-B26B-DE08362658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9289529123990718E-2"/>
          <c:y val="8.7273968802680152E-2"/>
          <c:w val="0.35770398648109419"/>
          <c:h val="0.60163113757121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Report!PivotTable10</c:name>
    <c:fmtId val="19"/>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4135005346553903"/>
          <c:y val="0.23408797900262468"/>
          <c:w val="0.55901701176241858"/>
          <c:h val="0.60373837270341202"/>
        </c:manualLayout>
      </c:layout>
      <c:doughnutChart>
        <c:varyColors val="1"/>
        <c:ser>
          <c:idx val="0"/>
          <c:order val="0"/>
          <c:tx>
            <c:strRef>
              <c:f>'Pivot Report'!$B$71</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Female</c:v>
                </c:pt>
                <c:pt idx="1">
                  <c:v>Male</c:v>
                </c:pt>
              </c:strCache>
            </c:strRef>
          </c:cat>
          <c:val>
            <c:numRef>
              <c:f>'Pivot Report'!$B$72:$B$74</c:f>
              <c:numCache>
                <c:formatCode>0</c:formatCode>
                <c:ptCount val="2"/>
                <c:pt idx="0">
                  <c:v>235</c:v>
                </c:pt>
                <c:pt idx="1">
                  <c:v>244</c:v>
                </c:pt>
              </c:numCache>
            </c:numRef>
          </c:val>
          <c:extLst>
            <c:ext xmlns:c16="http://schemas.microsoft.com/office/drawing/2014/chart" uri="{C3380CC4-5D6E-409C-BE32-E72D297353CC}">
              <c16:uniqueId val="{0000000B-B9B4-4C60-BFA6-FFCA3F2FBFDC}"/>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0328142315543891"/>
          <c:y val="3.8622572178477692E-2"/>
          <c:w val="0.79795314474579571"/>
          <c:h val="0.17334481880057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Report'!$B$79:$B$87</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1-962A-4051-BEB6-BF1114FF4B56}"/>
            </c:ext>
          </c:extLst>
        </c:ser>
        <c:dLbls>
          <c:showLegendKey val="0"/>
          <c:showVal val="0"/>
          <c:showCatName val="0"/>
          <c:showSerName val="0"/>
          <c:showPercent val="0"/>
          <c:showBubbleSize val="0"/>
        </c:dLbls>
        <c:gapWidth val="23"/>
        <c:axId val="1475865567"/>
        <c:axId val="1475857407"/>
      </c:barChart>
      <c:catAx>
        <c:axId val="147586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57407"/>
        <c:crosses val="autoZero"/>
        <c:auto val="1"/>
        <c:lblAlgn val="ctr"/>
        <c:lblOffset val="100"/>
        <c:noMultiLvlLbl val="0"/>
      </c:catAx>
      <c:valAx>
        <c:axId val="1475857407"/>
        <c:scaling>
          <c:orientation val="minMax"/>
        </c:scaling>
        <c:delete val="1"/>
        <c:axPos val="b"/>
        <c:numFmt formatCode="0" sourceLinked="1"/>
        <c:majorTickMark val="none"/>
        <c:minorTickMark val="none"/>
        <c:tickLblPos val="nextTo"/>
        <c:crossAx val="147586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74182324286705E-2"/>
          <c:y val="3.954802259887006E-2"/>
          <c:w val="0.9617258176757133"/>
          <c:h val="0.8757062146892655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DFDB-4CDA-9929-F4AF8AB95ED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80984095"/>
        <c:axId val="980986495"/>
      </c:areaChart>
      <c:catAx>
        <c:axId val="9809840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0986495"/>
        <c:crosses val="autoZero"/>
        <c:auto val="1"/>
        <c:lblAlgn val="ctr"/>
        <c:lblOffset val="100"/>
        <c:noMultiLvlLbl val="0"/>
      </c:catAx>
      <c:valAx>
        <c:axId val="980986495"/>
        <c:scaling>
          <c:orientation val="minMax"/>
        </c:scaling>
        <c:delete val="1"/>
        <c:axPos val="l"/>
        <c:numFmt formatCode="General" sourceLinked="1"/>
        <c:majorTickMark val="out"/>
        <c:minorTickMark val="none"/>
        <c:tickLblPos val="nextTo"/>
        <c:crossAx val="98098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999999999989"/>
          <c:h val="1"/>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DBFE-4536-9EC6-BAAB1D30B8F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3885296"/>
        <c:axId val="783884816"/>
      </c:areaChart>
      <c:catAx>
        <c:axId val="7838852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3884816"/>
        <c:crosses val="autoZero"/>
        <c:auto val="1"/>
        <c:lblAlgn val="ctr"/>
        <c:lblOffset val="100"/>
        <c:noMultiLvlLbl val="0"/>
      </c:catAx>
      <c:valAx>
        <c:axId val="783884816"/>
        <c:scaling>
          <c:orientation val="minMax"/>
        </c:scaling>
        <c:delete val="1"/>
        <c:axPos val="l"/>
        <c:numFmt formatCode="0.00" sourceLinked="1"/>
        <c:majorTickMark val="out"/>
        <c:minorTickMark val="none"/>
        <c:tickLblPos val="nextTo"/>
        <c:crossAx val="783885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[Emergency_Room.xlsx]Pivot Report!PivotTable6</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19435070616166E-3"/>
          <c:y val="0"/>
          <c:w val="0.99154805649293842"/>
          <c:h val="1"/>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Report'!$M$5:$M$35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C4D4-4408-846D-B2CE658200F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312576"/>
        <c:axId val="83306816"/>
      </c:areaChart>
      <c:catAx>
        <c:axId val="833125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306816"/>
        <c:crosses val="autoZero"/>
        <c:auto val="1"/>
        <c:lblAlgn val="ctr"/>
        <c:lblOffset val="100"/>
        <c:noMultiLvlLbl val="0"/>
      </c:catAx>
      <c:valAx>
        <c:axId val="83306816"/>
        <c:scaling>
          <c:orientation val="minMax"/>
        </c:scaling>
        <c:delete val="1"/>
        <c:axPos val="l"/>
        <c:numFmt formatCode="0.00" sourceLinked="1"/>
        <c:majorTickMark val="out"/>
        <c:minorTickMark val="none"/>
        <c:tickLblPos val="nextTo"/>
        <c:crossAx val="833125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heet3!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chart" Target="../charts/chart9.xml"/><Relationship Id="rId6" Type="http://schemas.openxmlformats.org/officeDocument/2006/relationships/image" Target="../media/image11.svg"/><Relationship Id="rId5" Type="http://schemas.openxmlformats.org/officeDocument/2006/relationships/image" Target="../media/image10.png"/><Relationship Id="rId4"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15240</xdr:colOff>
      <xdr:row>43</xdr:row>
      <xdr:rowOff>0</xdr:rowOff>
    </xdr:from>
    <xdr:to>
      <xdr:col>5</xdr:col>
      <xdr:colOff>419100</xdr:colOff>
      <xdr:row>46</xdr:row>
      <xdr:rowOff>175260</xdr:rowOff>
    </xdr:to>
    <xdr:graphicFrame macro="">
      <xdr:nvGraphicFramePr>
        <xdr:cNvPr id="2" name="Chart 1">
          <a:extLst>
            <a:ext uri="{FF2B5EF4-FFF2-40B4-BE49-F238E27FC236}">
              <a16:creationId xmlns:a16="http://schemas.microsoft.com/office/drawing/2014/main" id="{FE8E5282-95C2-24F9-16EB-2266DEA4B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42863</xdr:colOff>
      <xdr:row>0</xdr:row>
      <xdr:rowOff>28575</xdr:rowOff>
    </xdr:from>
    <xdr:to>
      <xdr:col>4</xdr:col>
      <xdr:colOff>385763</xdr:colOff>
      <xdr:row>2</xdr:row>
      <xdr:rowOff>176212</xdr:rowOff>
    </xdr:to>
    <xdr:sp macro="" textlink="">
      <xdr:nvSpPr>
        <xdr:cNvPr id="2" name="Rectangle: Rounded Corners 1">
          <a:extLst>
            <a:ext uri="{FF2B5EF4-FFF2-40B4-BE49-F238E27FC236}">
              <a16:creationId xmlns:a16="http://schemas.microsoft.com/office/drawing/2014/main" id="{98784026-35A4-17A6-39C4-C275D9AB0BD6}"/>
            </a:ext>
          </a:extLst>
        </xdr:cNvPr>
        <xdr:cNvSpPr/>
      </xdr:nvSpPr>
      <xdr:spPr>
        <a:xfrm>
          <a:off x="42863" y="28575"/>
          <a:ext cx="2781300" cy="5095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433388</xdr:colOff>
      <xdr:row>0</xdr:row>
      <xdr:rowOff>28575</xdr:rowOff>
    </xdr:from>
    <xdr:to>
      <xdr:col>6</xdr:col>
      <xdr:colOff>200025</xdr:colOff>
      <xdr:row>2</xdr:row>
      <xdr:rowOff>176212</xdr:rowOff>
    </xdr:to>
    <xdr:sp macro="" textlink="">
      <xdr:nvSpPr>
        <xdr:cNvPr id="3" name="Rectangle: Rounded Corners 2">
          <a:extLst>
            <a:ext uri="{FF2B5EF4-FFF2-40B4-BE49-F238E27FC236}">
              <a16:creationId xmlns:a16="http://schemas.microsoft.com/office/drawing/2014/main" id="{5D8E0AC2-66BC-D0E0-5D39-AD7DB7D25180}"/>
            </a:ext>
          </a:extLst>
        </xdr:cNvPr>
        <xdr:cNvSpPr/>
      </xdr:nvSpPr>
      <xdr:spPr>
        <a:xfrm>
          <a:off x="2871788" y="28575"/>
          <a:ext cx="985837" cy="5095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242887</xdr:colOff>
      <xdr:row>0</xdr:row>
      <xdr:rowOff>28574</xdr:rowOff>
    </xdr:from>
    <xdr:to>
      <xdr:col>8</xdr:col>
      <xdr:colOff>319087</xdr:colOff>
      <xdr:row>6</xdr:row>
      <xdr:rowOff>128587</xdr:rowOff>
    </xdr:to>
    <xdr:sp macro="" textlink="">
      <xdr:nvSpPr>
        <xdr:cNvPr id="4" name="Rectangle: Rounded Corners 3">
          <a:extLst>
            <a:ext uri="{FF2B5EF4-FFF2-40B4-BE49-F238E27FC236}">
              <a16:creationId xmlns:a16="http://schemas.microsoft.com/office/drawing/2014/main" id="{EE786065-0BE1-0010-3E0F-017D47F83C64}"/>
            </a:ext>
          </a:extLst>
        </xdr:cNvPr>
        <xdr:cNvSpPr/>
      </xdr:nvSpPr>
      <xdr:spPr>
        <a:xfrm>
          <a:off x="3900487" y="28574"/>
          <a:ext cx="1295400" cy="11858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361949</xdr:colOff>
      <xdr:row>0</xdr:row>
      <xdr:rowOff>33337</xdr:rowOff>
    </xdr:from>
    <xdr:to>
      <xdr:col>10</xdr:col>
      <xdr:colOff>433388</xdr:colOff>
      <xdr:row>6</xdr:row>
      <xdr:rowOff>133350</xdr:rowOff>
    </xdr:to>
    <xdr:sp macro="" textlink="">
      <xdr:nvSpPr>
        <xdr:cNvPr id="5" name="Rectangle: Rounded Corners 4">
          <a:extLst>
            <a:ext uri="{FF2B5EF4-FFF2-40B4-BE49-F238E27FC236}">
              <a16:creationId xmlns:a16="http://schemas.microsoft.com/office/drawing/2014/main" id="{96A4C353-0F74-DD8A-E9FB-01AEADCD4585}"/>
            </a:ext>
          </a:extLst>
        </xdr:cNvPr>
        <xdr:cNvSpPr/>
      </xdr:nvSpPr>
      <xdr:spPr>
        <a:xfrm>
          <a:off x="5238749" y="33337"/>
          <a:ext cx="1290639" cy="11858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42863</xdr:colOff>
      <xdr:row>3</xdr:row>
      <xdr:rowOff>33339</xdr:rowOff>
    </xdr:from>
    <xdr:to>
      <xdr:col>1</xdr:col>
      <xdr:colOff>57150</xdr:colOff>
      <xdr:row>15</xdr:row>
      <xdr:rowOff>38101</xdr:rowOff>
    </xdr:to>
    <xdr:sp macro="" textlink="">
      <xdr:nvSpPr>
        <xdr:cNvPr id="8" name="Rectangle: Rounded Corners 7">
          <a:extLst>
            <a:ext uri="{FF2B5EF4-FFF2-40B4-BE49-F238E27FC236}">
              <a16:creationId xmlns:a16="http://schemas.microsoft.com/office/drawing/2014/main" id="{4162BBB3-EDB1-4278-EE30-B66C992DC5E0}"/>
            </a:ext>
          </a:extLst>
        </xdr:cNvPr>
        <xdr:cNvSpPr/>
      </xdr:nvSpPr>
      <xdr:spPr>
        <a:xfrm>
          <a:off x="42863" y="576264"/>
          <a:ext cx="623887" cy="21764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85725</xdr:colOff>
      <xdr:row>3</xdr:row>
      <xdr:rowOff>28574</xdr:rowOff>
    </xdr:from>
    <xdr:to>
      <xdr:col>2</xdr:col>
      <xdr:colOff>504825</xdr:colOff>
      <xdr:row>6</xdr:row>
      <xdr:rowOff>166688</xdr:rowOff>
    </xdr:to>
    <xdr:sp macro="" textlink="">
      <xdr:nvSpPr>
        <xdr:cNvPr id="11" name="Rectangle: Rounded Corners 10">
          <a:extLst>
            <a:ext uri="{FF2B5EF4-FFF2-40B4-BE49-F238E27FC236}">
              <a16:creationId xmlns:a16="http://schemas.microsoft.com/office/drawing/2014/main" id="{E6C17BC0-EE65-6CAC-5B89-465032AED262}"/>
            </a:ext>
          </a:extLst>
        </xdr:cNvPr>
        <xdr:cNvSpPr/>
      </xdr:nvSpPr>
      <xdr:spPr>
        <a:xfrm>
          <a:off x="695325" y="571499"/>
          <a:ext cx="1028700" cy="681039"/>
        </a:xfrm>
        <a:prstGeom prst="roundRect">
          <a:avLst>
            <a:gd name="adj" fmla="val 1247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85725</xdr:colOff>
      <xdr:row>7</xdr:row>
      <xdr:rowOff>33337</xdr:rowOff>
    </xdr:from>
    <xdr:to>
      <xdr:col>6</xdr:col>
      <xdr:colOff>209550</xdr:colOff>
      <xdr:row>10</xdr:row>
      <xdr:rowOff>23813</xdr:rowOff>
    </xdr:to>
    <xdr:sp macro="" textlink="">
      <xdr:nvSpPr>
        <xdr:cNvPr id="12" name="Rectangle: Rounded Corners 11">
          <a:extLst>
            <a:ext uri="{FF2B5EF4-FFF2-40B4-BE49-F238E27FC236}">
              <a16:creationId xmlns:a16="http://schemas.microsoft.com/office/drawing/2014/main" id="{9CCD4F92-9F4F-3F0B-9AC6-19DFEA567E1C}"/>
            </a:ext>
          </a:extLst>
        </xdr:cNvPr>
        <xdr:cNvSpPr/>
      </xdr:nvSpPr>
      <xdr:spPr>
        <a:xfrm>
          <a:off x="695325" y="1300162"/>
          <a:ext cx="3171825" cy="53340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85725</xdr:colOff>
      <xdr:row>10</xdr:row>
      <xdr:rowOff>52388</xdr:rowOff>
    </xdr:from>
    <xdr:to>
      <xdr:col>6</xdr:col>
      <xdr:colOff>209551</xdr:colOff>
      <xdr:row>15</xdr:row>
      <xdr:rowOff>33338</xdr:rowOff>
    </xdr:to>
    <xdr:sp macro="" textlink="">
      <xdr:nvSpPr>
        <xdr:cNvPr id="13" name="Rectangle: Rounded Corners 12">
          <a:extLst>
            <a:ext uri="{FF2B5EF4-FFF2-40B4-BE49-F238E27FC236}">
              <a16:creationId xmlns:a16="http://schemas.microsoft.com/office/drawing/2014/main" id="{1D4BB843-F9AA-FBF4-4404-FBC1AA1CF2FB}"/>
            </a:ext>
          </a:extLst>
        </xdr:cNvPr>
        <xdr:cNvSpPr/>
      </xdr:nvSpPr>
      <xdr:spPr>
        <a:xfrm>
          <a:off x="695325" y="1862138"/>
          <a:ext cx="3171826" cy="8858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242887</xdr:colOff>
      <xdr:row>6</xdr:row>
      <xdr:rowOff>166688</xdr:rowOff>
    </xdr:from>
    <xdr:to>
      <xdr:col>10</xdr:col>
      <xdr:colOff>447675</xdr:colOff>
      <xdr:row>15</xdr:row>
      <xdr:rowOff>28575</xdr:rowOff>
    </xdr:to>
    <xdr:sp macro="" textlink="">
      <xdr:nvSpPr>
        <xdr:cNvPr id="14" name="Rectangle: Rounded Corners 13">
          <a:extLst>
            <a:ext uri="{FF2B5EF4-FFF2-40B4-BE49-F238E27FC236}">
              <a16:creationId xmlns:a16="http://schemas.microsoft.com/office/drawing/2014/main" id="{D08B6352-C7B3-D0B4-3537-4549E8EF0CD9}"/>
            </a:ext>
          </a:extLst>
        </xdr:cNvPr>
        <xdr:cNvSpPr/>
      </xdr:nvSpPr>
      <xdr:spPr>
        <a:xfrm>
          <a:off x="3900487" y="1252538"/>
          <a:ext cx="2643188" cy="14906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542925</xdr:colOff>
      <xdr:row>3</xdr:row>
      <xdr:rowOff>28574</xdr:rowOff>
    </xdr:from>
    <xdr:to>
      <xdr:col>4</xdr:col>
      <xdr:colOff>352425</xdr:colOff>
      <xdr:row>6</xdr:row>
      <xdr:rowOff>166688</xdr:rowOff>
    </xdr:to>
    <xdr:sp macro="" textlink="">
      <xdr:nvSpPr>
        <xdr:cNvPr id="15" name="Rectangle: Rounded Corners 14">
          <a:extLst>
            <a:ext uri="{FF2B5EF4-FFF2-40B4-BE49-F238E27FC236}">
              <a16:creationId xmlns:a16="http://schemas.microsoft.com/office/drawing/2014/main" id="{E10C408B-D10D-FAA1-EA68-4236C375DF5B}"/>
            </a:ext>
          </a:extLst>
        </xdr:cNvPr>
        <xdr:cNvSpPr/>
      </xdr:nvSpPr>
      <xdr:spPr>
        <a:xfrm>
          <a:off x="1762125" y="571499"/>
          <a:ext cx="1028700" cy="6810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395288</xdr:colOff>
      <xdr:row>3</xdr:row>
      <xdr:rowOff>28574</xdr:rowOff>
    </xdr:from>
    <xdr:to>
      <xdr:col>6</xdr:col>
      <xdr:colOff>204788</xdr:colOff>
      <xdr:row>6</xdr:row>
      <xdr:rowOff>166688</xdr:rowOff>
    </xdr:to>
    <xdr:sp macro="" textlink="">
      <xdr:nvSpPr>
        <xdr:cNvPr id="16" name="Rectangle: Rounded Corners 15">
          <a:extLst>
            <a:ext uri="{FF2B5EF4-FFF2-40B4-BE49-F238E27FC236}">
              <a16:creationId xmlns:a16="http://schemas.microsoft.com/office/drawing/2014/main" id="{3DBDBA9D-BD22-5A07-B2EE-23C0A5C3F55A}"/>
            </a:ext>
          </a:extLst>
        </xdr:cNvPr>
        <xdr:cNvSpPr/>
      </xdr:nvSpPr>
      <xdr:spPr>
        <a:xfrm>
          <a:off x="2833688" y="571499"/>
          <a:ext cx="1028700" cy="6810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14286</xdr:colOff>
      <xdr:row>0</xdr:row>
      <xdr:rowOff>95250</xdr:rowOff>
    </xdr:from>
    <xdr:to>
      <xdr:col>4</xdr:col>
      <xdr:colOff>409574</xdr:colOff>
      <xdr:row>1</xdr:row>
      <xdr:rowOff>104775</xdr:rowOff>
    </xdr:to>
    <xdr:sp macro="" textlink="">
      <xdr:nvSpPr>
        <xdr:cNvPr id="17" name="TextBox 16">
          <a:extLst>
            <a:ext uri="{FF2B5EF4-FFF2-40B4-BE49-F238E27FC236}">
              <a16:creationId xmlns:a16="http://schemas.microsoft.com/office/drawing/2014/main" id="{F1E83609-A5D8-22F2-F9C3-32DA1EB36930}"/>
            </a:ext>
          </a:extLst>
        </xdr:cNvPr>
        <xdr:cNvSpPr txBox="1"/>
      </xdr:nvSpPr>
      <xdr:spPr>
        <a:xfrm>
          <a:off x="623886" y="95250"/>
          <a:ext cx="222408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Room Dashboard</a:t>
          </a:r>
        </a:p>
      </xdr:txBody>
    </xdr:sp>
    <xdr:clientData/>
  </xdr:twoCellAnchor>
  <xdr:twoCellAnchor editAs="oneCell">
    <xdr:from>
      <xdr:col>0</xdr:col>
      <xdr:colOff>33337</xdr:colOff>
      <xdr:row>0</xdr:row>
      <xdr:rowOff>42862</xdr:rowOff>
    </xdr:from>
    <xdr:to>
      <xdr:col>1</xdr:col>
      <xdr:colOff>165834</xdr:colOff>
      <xdr:row>3</xdr:row>
      <xdr:rowOff>1</xdr:rowOff>
    </xdr:to>
    <xdr:pic>
      <xdr:nvPicPr>
        <xdr:cNvPr id="19" name="Picture 18">
          <a:extLst>
            <a:ext uri="{FF2B5EF4-FFF2-40B4-BE49-F238E27FC236}">
              <a16:creationId xmlns:a16="http://schemas.microsoft.com/office/drawing/2014/main" id="{A6D5F748-8DC2-52DB-CF3A-A57EB6A79A5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605"/>
        <a:stretch>
          <a:fillRect/>
        </a:stretch>
      </xdr:blipFill>
      <xdr:spPr>
        <a:xfrm>
          <a:off x="33337" y="42862"/>
          <a:ext cx="742097" cy="500064"/>
        </a:xfrm>
        <a:prstGeom prst="rect">
          <a:avLst/>
        </a:prstGeom>
      </xdr:spPr>
    </xdr:pic>
    <xdr:clientData/>
  </xdr:twoCellAnchor>
  <xdr:twoCellAnchor editAs="absolute">
    <xdr:from>
      <xdr:col>0</xdr:col>
      <xdr:colOff>133348</xdr:colOff>
      <xdr:row>4</xdr:row>
      <xdr:rowOff>142875</xdr:rowOff>
    </xdr:from>
    <xdr:to>
      <xdr:col>3</xdr:col>
      <xdr:colOff>533400</xdr:colOff>
      <xdr:row>5</xdr:row>
      <xdr:rowOff>138113</xdr:rowOff>
    </xdr:to>
    <xdr:sp macro="" textlink="">
      <xdr:nvSpPr>
        <xdr:cNvPr id="20" name="TextBox 19">
          <a:extLst>
            <a:ext uri="{FF2B5EF4-FFF2-40B4-BE49-F238E27FC236}">
              <a16:creationId xmlns:a16="http://schemas.microsoft.com/office/drawing/2014/main" id="{24A15CF0-8903-F720-A185-20A0B71CE943}"/>
            </a:ext>
          </a:extLst>
        </xdr:cNvPr>
        <xdr:cNvSpPr txBox="1"/>
      </xdr:nvSpPr>
      <xdr:spPr>
        <a:xfrm>
          <a:off x="133348" y="866775"/>
          <a:ext cx="2228852" cy="17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t>Monthly</a:t>
          </a:r>
          <a:r>
            <a:rPr lang="en-IN" sz="700" b="1" baseline="0"/>
            <a:t> Report</a:t>
          </a:r>
          <a:endParaRPr lang="en-IN" sz="700" b="1"/>
        </a:p>
      </xdr:txBody>
    </xdr:sp>
    <xdr:clientData/>
  </xdr:twoCellAnchor>
  <xdr:twoCellAnchor editAs="absolute">
    <xdr:from>
      <xdr:col>0</xdr:col>
      <xdr:colOff>119061</xdr:colOff>
      <xdr:row>3</xdr:row>
      <xdr:rowOff>119062</xdr:rowOff>
    </xdr:from>
    <xdr:to>
      <xdr:col>3</xdr:col>
      <xdr:colOff>514349</xdr:colOff>
      <xdr:row>4</xdr:row>
      <xdr:rowOff>128587</xdr:rowOff>
    </xdr:to>
    <xdr:sp macro="" textlink="'Pivot Report'!A5">
      <xdr:nvSpPr>
        <xdr:cNvPr id="21" name="TextBox 20">
          <a:extLst>
            <a:ext uri="{FF2B5EF4-FFF2-40B4-BE49-F238E27FC236}">
              <a16:creationId xmlns:a16="http://schemas.microsoft.com/office/drawing/2014/main" id="{06B98015-9A5D-F54A-B8A9-34B8AA643289}"/>
            </a:ext>
          </a:extLst>
        </xdr:cNvPr>
        <xdr:cNvSpPr txBox="1"/>
      </xdr:nvSpPr>
      <xdr:spPr>
        <a:xfrm>
          <a:off x="119061" y="661987"/>
          <a:ext cx="222408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3FA32B2-A1E2-426E-A132-3AB1F0F8FEDF}" type="TxLink">
            <a:rPr lang="en-US" sz="1100" b="0" i="0" u="none" strike="noStrike">
              <a:solidFill>
                <a:srgbClr val="000000"/>
              </a:solidFill>
              <a:latin typeface="Calibri"/>
              <a:ea typeface="Calibri"/>
              <a:cs typeface="Calibri"/>
            </a:rPr>
            <a:pPr algn="ctr"/>
            <a:t>479</a:t>
          </a:fld>
          <a:endParaRPr lang="en-IN" sz="1100"/>
        </a:p>
      </xdr:txBody>
    </xdr:sp>
    <xdr:clientData/>
  </xdr:twoCellAnchor>
  <xdr:twoCellAnchor editAs="absolute">
    <xdr:from>
      <xdr:col>2</xdr:col>
      <xdr:colOff>242888</xdr:colOff>
      <xdr:row>4</xdr:row>
      <xdr:rowOff>147637</xdr:rowOff>
    </xdr:from>
    <xdr:to>
      <xdr:col>5</xdr:col>
      <xdr:colOff>80963</xdr:colOff>
      <xdr:row>5</xdr:row>
      <xdr:rowOff>152401</xdr:rowOff>
    </xdr:to>
    <xdr:sp macro="" textlink="">
      <xdr:nvSpPr>
        <xdr:cNvPr id="24" name="TextBox 23">
          <a:extLst>
            <a:ext uri="{FF2B5EF4-FFF2-40B4-BE49-F238E27FC236}">
              <a16:creationId xmlns:a16="http://schemas.microsoft.com/office/drawing/2014/main" id="{F3404A95-184B-9091-E8E6-B871018C7423}"/>
            </a:ext>
          </a:extLst>
        </xdr:cNvPr>
        <xdr:cNvSpPr txBox="1"/>
      </xdr:nvSpPr>
      <xdr:spPr>
        <a:xfrm>
          <a:off x="1462088" y="871537"/>
          <a:ext cx="1666875" cy="185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t>Average Wait</a:t>
          </a:r>
          <a:r>
            <a:rPr lang="en-IN" sz="700" b="1" baseline="0"/>
            <a:t> Time</a:t>
          </a:r>
          <a:endParaRPr lang="en-IN" sz="700" b="1"/>
        </a:p>
      </xdr:txBody>
    </xdr:sp>
    <xdr:clientData/>
  </xdr:twoCellAnchor>
  <xdr:twoCellAnchor editAs="absolute">
    <xdr:from>
      <xdr:col>1</xdr:col>
      <xdr:colOff>533398</xdr:colOff>
      <xdr:row>3</xdr:row>
      <xdr:rowOff>138111</xdr:rowOff>
    </xdr:from>
    <xdr:to>
      <xdr:col>5</xdr:col>
      <xdr:colOff>319086</xdr:colOff>
      <xdr:row>4</xdr:row>
      <xdr:rowOff>147636</xdr:rowOff>
    </xdr:to>
    <xdr:sp macro="" textlink="'Pivot Report'!A9">
      <xdr:nvSpPr>
        <xdr:cNvPr id="25" name="TextBox 24">
          <a:extLst>
            <a:ext uri="{FF2B5EF4-FFF2-40B4-BE49-F238E27FC236}">
              <a16:creationId xmlns:a16="http://schemas.microsoft.com/office/drawing/2014/main" id="{ACBE8A31-7142-61F4-B8CA-A07673BB2351}"/>
            </a:ext>
          </a:extLst>
        </xdr:cNvPr>
        <xdr:cNvSpPr txBox="1"/>
      </xdr:nvSpPr>
      <xdr:spPr>
        <a:xfrm>
          <a:off x="1142998" y="681036"/>
          <a:ext cx="222408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52FCBB4-50C7-48CB-8E16-E60DABE75A57}" type="TxLink">
            <a:rPr lang="en-US" sz="1100" b="0" i="0" u="none" strike="noStrike">
              <a:solidFill>
                <a:srgbClr val="000000"/>
              </a:solidFill>
              <a:latin typeface="Calibri"/>
              <a:ea typeface="Calibri"/>
              <a:cs typeface="Calibri"/>
            </a:rPr>
            <a:pPr algn="ctr"/>
            <a:t>34.90</a:t>
          </a:fld>
          <a:endParaRPr lang="en-IN" sz="1100"/>
        </a:p>
      </xdr:txBody>
    </xdr:sp>
    <xdr:clientData/>
  </xdr:twoCellAnchor>
  <xdr:twoCellAnchor editAs="absolute">
    <xdr:from>
      <xdr:col>4</xdr:col>
      <xdr:colOff>90489</xdr:colOff>
      <xdr:row>4</xdr:row>
      <xdr:rowOff>147637</xdr:rowOff>
    </xdr:from>
    <xdr:to>
      <xdr:col>6</xdr:col>
      <xdr:colOff>471489</xdr:colOff>
      <xdr:row>5</xdr:row>
      <xdr:rowOff>152401</xdr:rowOff>
    </xdr:to>
    <xdr:sp macro="" textlink="">
      <xdr:nvSpPr>
        <xdr:cNvPr id="26" name="TextBox 25">
          <a:extLst>
            <a:ext uri="{FF2B5EF4-FFF2-40B4-BE49-F238E27FC236}">
              <a16:creationId xmlns:a16="http://schemas.microsoft.com/office/drawing/2014/main" id="{1BFBB069-889F-40F6-F7B7-8F23181EB146}"/>
            </a:ext>
          </a:extLst>
        </xdr:cNvPr>
        <xdr:cNvSpPr txBox="1"/>
      </xdr:nvSpPr>
      <xdr:spPr>
        <a:xfrm>
          <a:off x="2528889" y="871537"/>
          <a:ext cx="1600200" cy="185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b="1"/>
            <a:t>Patient</a:t>
          </a:r>
          <a:r>
            <a:rPr lang="en-IN" sz="700" b="1" baseline="0"/>
            <a:t> Satisfaction Score</a:t>
          </a:r>
          <a:endParaRPr lang="en-IN" sz="700" b="1"/>
        </a:p>
      </xdr:txBody>
    </xdr:sp>
    <xdr:clientData/>
  </xdr:twoCellAnchor>
  <xdr:twoCellAnchor editAs="absolute">
    <xdr:from>
      <xdr:col>3</xdr:col>
      <xdr:colOff>400049</xdr:colOff>
      <xdr:row>3</xdr:row>
      <xdr:rowOff>119062</xdr:rowOff>
    </xdr:from>
    <xdr:to>
      <xdr:col>7</xdr:col>
      <xdr:colOff>185737</xdr:colOff>
      <xdr:row>4</xdr:row>
      <xdr:rowOff>128587</xdr:rowOff>
    </xdr:to>
    <xdr:sp macro="" textlink="'Pivot Report'!A14">
      <xdr:nvSpPr>
        <xdr:cNvPr id="27" name="TextBox 26">
          <a:extLst>
            <a:ext uri="{FF2B5EF4-FFF2-40B4-BE49-F238E27FC236}">
              <a16:creationId xmlns:a16="http://schemas.microsoft.com/office/drawing/2014/main" id="{AE5ED5A9-8633-26DC-8AFA-AFC7E8D674B3}"/>
            </a:ext>
          </a:extLst>
        </xdr:cNvPr>
        <xdr:cNvSpPr txBox="1"/>
      </xdr:nvSpPr>
      <xdr:spPr>
        <a:xfrm>
          <a:off x="2228849" y="661987"/>
          <a:ext cx="222408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FB6E431-5023-4043-9FAE-BC0B9DA7C0FC}" type="TxLink">
            <a:rPr lang="en-US" sz="1100" b="0" i="0" u="none" strike="noStrike">
              <a:solidFill>
                <a:srgbClr val="000000"/>
              </a:solidFill>
              <a:latin typeface="Calibri"/>
              <a:ea typeface="Calibri"/>
              <a:cs typeface="Calibri"/>
            </a:rPr>
            <a:pPr algn="ctr"/>
            <a:t>5.30</a:t>
          </a:fld>
          <a:endParaRPr lang="en-IN" sz="1100"/>
        </a:p>
      </xdr:txBody>
    </xdr:sp>
    <xdr:clientData/>
  </xdr:twoCellAnchor>
  <xdr:twoCellAnchor editAs="oneCell">
    <xdr:from>
      <xdr:col>2</xdr:col>
      <xdr:colOff>247649</xdr:colOff>
      <xdr:row>3</xdr:row>
      <xdr:rowOff>66676</xdr:rowOff>
    </xdr:from>
    <xdr:to>
      <xdr:col>2</xdr:col>
      <xdr:colOff>457199</xdr:colOff>
      <xdr:row>4</xdr:row>
      <xdr:rowOff>95251</xdr:rowOff>
    </xdr:to>
    <xdr:pic>
      <xdr:nvPicPr>
        <xdr:cNvPr id="29" name="Graphic 28" descr="Male profile with solid fill">
          <a:extLst>
            <a:ext uri="{FF2B5EF4-FFF2-40B4-BE49-F238E27FC236}">
              <a16:creationId xmlns:a16="http://schemas.microsoft.com/office/drawing/2014/main" id="{3AAEF4C1-7439-7784-D9AC-2A287FE5B74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6849" y="609601"/>
          <a:ext cx="209550" cy="209550"/>
        </a:xfrm>
        <a:prstGeom prst="rect">
          <a:avLst/>
        </a:prstGeom>
      </xdr:spPr>
    </xdr:pic>
    <xdr:clientData/>
  </xdr:twoCellAnchor>
  <xdr:twoCellAnchor editAs="oneCell">
    <xdr:from>
      <xdr:col>5</xdr:col>
      <xdr:colOff>557212</xdr:colOff>
      <xdr:row>3</xdr:row>
      <xdr:rowOff>71438</xdr:rowOff>
    </xdr:from>
    <xdr:to>
      <xdr:col>6</xdr:col>
      <xdr:colOff>166684</xdr:colOff>
      <xdr:row>4</xdr:row>
      <xdr:rowOff>109535</xdr:rowOff>
    </xdr:to>
    <xdr:pic>
      <xdr:nvPicPr>
        <xdr:cNvPr id="31" name="Graphic 30" descr="Customer review with solid fill">
          <a:extLst>
            <a:ext uri="{FF2B5EF4-FFF2-40B4-BE49-F238E27FC236}">
              <a16:creationId xmlns:a16="http://schemas.microsoft.com/office/drawing/2014/main" id="{604C3AB8-646C-3DFE-54D1-A5C42E9324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3605212" y="614363"/>
          <a:ext cx="219072" cy="219072"/>
        </a:xfrm>
        <a:prstGeom prst="rect">
          <a:avLst/>
        </a:prstGeom>
      </xdr:spPr>
    </xdr:pic>
    <xdr:clientData/>
  </xdr:twoCellAnchor>
  <xdr:twoCellAnchor editAs="oneCell">
    <xdr:from>
      <xdr:col>4</xdr:col>
      <xdr:colOff>95247</xdr:colOff>
      <xdr:row>3</xdr:row>
      <xdr:rowOff>71437</xdr:rowOff>
    </xdr:from>
    <xdr:to>
      <xdr:col>4</xdr:col>
      <xdr:colOff>309561</xdr:colOff>
      <xdr:row>4</xdr:row>
      <xdr:rowOff>104776</xdr:rowOff>
    </xdr:to>
    <xdr:pic>
      <xdr:nvPicPr>
        <xdr:cNvPr id="33" name="Graphic 32" descr="Hourglass Finished with solid fill">
          <a:extLst>
            <a:ext uri="{FF2B5EF4-FFF2-40B4-BE49-F238E27FC236}">
              <a16:creationId xmlns:a16="http://schemas.microsoft.com/office/drawing/2014/main" id="{6A79B8C9-8C40-623E-0947-CDF028857C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a:off x="2533647" y="614362"/>
          <a:ext cx="214314" cy="214314"/>
        </a:xfrm>
        <a:prstGeom prst="rect">
          <a:avLst/>
        </a:prstGeom>
      </xdr:spPr>
    </xdr:pic>
    <xdr:clientData/>
  </xdr:twoCellAnchor>
  <xdr:twoCellAnchor editAs="oneCell">
    <xdr:from>
      <xdr:col>0</xdr:col>
      <xdr:colOff>100013</xdr:colOff>
      <xdr:row>3</xdr:row>
      <xdr:rowOff>80964</xdr:rowOff>
    </xdr:from>
    <xdr:to>
      <xdr:col>1</xdr:col>
      <xdr:colOff>21863</xdr:colOff>
      <xdr:row>15</xdr:row>
      <xdr:rowOff>14288</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CF65F099-CD90-4C42-AA53-B569E1014D9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0013" y="623889"/>
              <a:ext cx="531450"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5</xdr:row>
      <xdr:rowOff>33338</xdr:rowOff>
    </xdr:from>
    <xdr:to>
      <xdr:col>2</xdr:col>
      <xdr:colOff>509587</xdr:colOff>
      <xdr:row>6</xdr:row>
      <xdr:rowOff>166688</xdr:rowOff>
    </xdr:to>
    <xdr:graphicFrame macro="">
      <xdr:nvGraphicFramePr>
        <xdr:cNvPr id="36" name="Chart 35">
          <a:hlinkClick xmlns:r="http://schemas.openxmlformats.org/officeDocument/2006/relationships" r:id="rId8"/>
          <a:extLst>
            <a:ext uri="{FF2B5EF4-FFF2-40B4-BE49-F238E27FC236}">
              <a16:creationId xmlns:a16="http://schemas.microsoft.com/office/drawing/2014/main" id="{EE410A42-4192-43C3-B802-E8303ADE1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552450</xdr:colOff>
      <xdr:row>5</xdr:row>
      <xdr:rowOff>133350</xdr:rowOff>
    </xdr:from>
    <xdr:to>
      <xdr:col>4</xdr:col>
      <xdr:colOff>357188</xdr:colOff>
      <xdr:row>6</xdr:row>
      <xdr:rowOff>157162</xdr:rowOff>
    </xdr:to>
    <xdr:graphicFrame macro="">
      <xdr:nvGraphicFramePr>
        <xdr:cNvPr id="6" name="Chart 5">
          <a:hlinkClick xmlns:r="http://schemas.openxmlformats.org/officeDocument/2006/relationships" r:id="rId10"/>
          <a:extLst>
            <a:ext uri="{FF2B5EF4-FFF2-40B4-BE49-F238E27FC236}">
              <a16:creationId xmlns:a16="http://schemas.microsoft.com/office/drawing/2014/main" id="{6C42B828-22FD-4231-BF1A-B9AD0A149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400051</xdr:colOff>
      <xdr:row>5</xdr:row>
      <xdr:rowOff>61913</xdr:rowOff>
    </xdr:from>
    <xdr:to>
      <xdr:col>6</xdr:col>
      <xdr:colOff>180976</xdr:colOff>
      <xdr:row>6</xdr:row>
      <xdr:rowOff>161925</xdr:rowOff>
    </xdr:to>
    <xdr:graphicFrame macro="">
      <xdr:nvGraphicFramePr>
        <xdr:cNvPr id="7" name="Chart 6">
          <a:hlinkClick xmlns:r="http://schemas.openxmlformats.org/officeDocument/2006/relationships" r:id="rId12"/>
          <a:extLst>
            <a:ext uri="{FF2B5EF4-FFF2-40B4-BE49-F238E27FC236}">
              <a16:creationId xmlns:a16="http://schemas.microsoft.com/office/drawing/2014/main" id="{12AEEF3E-E263-4D4C-9BA4-8E6C6D1A6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95250</xdr:colOff>
          <xdr:row>7</xdr:row>
          <xdr:rowOff>19050</xdr:rowOff>
        </xdr:from>
        <xdr:to>
          <xdr:col>6</xdr:col>
          <xdr:colOff>204788</xdr:colOff>
          <xdr:row>10</xdr:row>
          <xdr:rowOff>26670</xdr:rowOff>
        </xdr:to>
        <xdr:pic>
          <xdr:nvPicPr>
            <xdr:cNvPr id="35" name="Picture 34">
              <a:extLst>
                <a:ext uri="{FF2B5EF4-FFF2-40B4-BE49-F238E27FC236}">
                  <a16:creationId xmlns:a16="http://schemas.microsoft.com/office/drawing/2014/main" id="{385256E5-5D50-4147-AD28-737386A630E9}"/>
                </a:ext>
              </a:extLst>
            </xdr:cNvPr>
            <xdr:cNvPicPr>
              <a:picLocks noChangeAspect="1" noChangeArrowheads="1"/>
              <a:extLst>
                <a:ext uri="{84589F7E-364E-4C9E-8A38-B11213B215E9}">
                  <a14:cameraTool cellRange="'Pivot Report'!$A$44:$F$46" spid="_x0000_s1062"/>
                </a:ext>
              </a:extLst>
            </xdr:cNvPicPr>
          </xdr:nvPicPr>
          <xdr:blipFill>
            <a:blip xmlns:r="http://schemas.openxmlformats.org/officeDocument/2006/relationships" r:embed="rId14"/>
            <a:srcRect/>
            <a:stretch>
              <a:fillRect/>
            </a:stretch>
          </xdr:blipFill>
          <xdr:spPr bwMode="auto">
            <a:xfrm>
              <a:off x="704850" y="1285875"/>
              <a:ext cx="3157538" cy="5505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95250</xdr:colOff>
      <xdr:row>10</xdr:row>
      <xdr:rowOff>57150</xdr:rowOff>
    </xdr:from>
    <xdr:to>
      <xdr:col>6</xdr:col>
      <xdr:colOff>219075</xdr:colOff>
      <xdr:row>15</xdr:row>
      <xdr:rowOff>52389</xdr:rowOff>
    </xdr:to>
    <xdr:graphicFrame macro="">
      <xdr:nvGraphicFramePr>
        <xdr:cNvPr id="37" name="Chart 36">
          <a:extLst>
            <a:ext uri="{FF2B5EF4-FFF2-40B4-BE49-F238E27FC236}">
              <a16:creationId xmlns:a16="http://schemas.microsoft.com/office/drawing/2014/main" id="{92B4874C-144F-4877-9BD5-E79A67B28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290513</xdr:colOff>
      <xdr:row>14</xdr:row>
      <xdr:rowOff>80963</xdr:rowOff>
    </xdr:from>
    <xdr:to>
      <xdr:col>4</xdr:col>
      <xdr:colOff>352426</xdr:colOff>
      <xdr:row>15</xdr:row>
      <xdr:rowOff>61914</xdr:rowOff>
    </xdr:to>
    <xdr:sp macro="" textlink="">
      <xdr:nvSpPr>
        <xdr:cNvPr id="38" name="TextBox 37">
          <a:extLst>
            <a:ext uri="{FF2B5EF4-FFF2-40B4-BE49-F238E27FC236}">
              <a16:creationId xmlns:a16="http://schemas.microsoft.com/office/drawing/2014/main" id="{045FF267-D1EC-B510-821A-83241DAACC60}"/>
            </a:ext>
          </a:extLst>
        </xdr:cNvPr>
        <xdr:cNvSpPr txBox="1"/>
      </xdr:nvSpPr>
      <xdr:spPr>
        <a:xfrm>
          <a:off x="1509713" y="2614613"/>
          <a:ext cx="1281113" cy="161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a:t>No.</a:t>
          </a:r>
          <a:r>
            <a:rPr lang="en-IN" sz="700" baseline="0"/>
            <a:t> of patient by Age Group</a:t>
          </a:r>
          <a:endParaRPr lang="en-IN" sz="700"/>
        </a:p>
      </xdr:txBody>
    </xdr:sp>
    <xdr:clientData/>
  </xdr:twoCellAnchor>
  <xdr:twoCellAnchor>
    <xdr:from>
      <xdr:col>6</xdr:col>
      <xdr:colOff>252413</xdr:colOff>
      <xdr:row>0</xdr:row>
      <xdr:rowOff>38100</xdr:rowOff>
    </xdr:from>
    <xdr:to>
      <xdr:col>8</xdr:col>
      <xdr:colOff>323850</xdr:colOff>
      <xdr:row>6</xdr:row>
      <xdr:rowOff>123825</xdr:rowOff>
    </xdr:to>
    <xdr:graphicFrame macro="">
      <xdr:nvGraphicFramePr>
        <xdr:cNvPr id="39" name="Chart 38">
          <a:extLst>
            <a:ext uri="{FF2B5EF4-FFF2-40B4-BE49-F238E27FC236}">
              <a16:creationId xmlns:a16="http://schemas.microsoft.com/office/drawing/2014/main" id="{0B57EA08-60EE-4D1A-93F2-C54D386EC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438150</xdr:colOff>
      <xdr:row>5</xdr:row>
      <xdr:rowOff>128589</xdr:rowOff>
    </xdr:from>
    <xdr:to>
      <xdr:col>8</xdr:col>
      <xdr:colOff>176213</xdr:colOff>
      <xdr:row>6</xdr:row>
      <xdr:rowOff>123826</xdr:rowOff>
    </xdr:to>
    <xdr:sp macro="" textlink="">
      <xdr:nvSpPr>
        <xdr:cNvPr id="40" name="TextBox 39">
          <a:extLst>
            <a:ext uri="{FF2B5EF4-FFF2-40B4-BE49-F238E27FC236}">
              <a16:creationId xmlns:a16="http://schemas.microsoft.com/office/drawing/2014/main" id="{3300B4DF-6106-3403-C428-54D8A2E1A026}"/>
            </a:ext>
          </a:extLst>
        </xdr:cNvPr>
        <xdr:cNvSpPr txBox="1"/>
      </xdr:nvSpPr>
      <xdr:spPr>
        <a:xfrm>
          <a:off x="4095750" y="1033464"/>
          <a:ext cx="957263"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Patient Attend Status</a:t>
          </a:r>
        </a:p>
      </xdr:txBody>
    </xdr:sp>
    <xdr:clientData/>
  </xdr:twoCellAnchor>
  <xdr:twoCellAnchor>
    <xdr:from>
      <xdr:col>8</xdr:col>
      <xdr:colOff>366713</xdr:colOff>
      <xdr:row>0</xdr:row>
      <xdr:rowOff>28575</xdr:rowOff>
    </xdr:from>
    <xdr:to>
      <xdr:col>10</xdr:col>
      <xdr:colOff>433388</xdr:colOff>
      <xdr:row>6</xdr:row>
      <xdr:rowOff>133350</xdr:rowOff>
    </xdr:to>
    <xdr:graphicFrame macro="">
      <xdr:nvGraphicFramePr>
        <xdr:cNvPr id="41" name="Chart 40">
          <a:extLst>
            <a:ext uri="{FF2B5EF4-FFF2-40B4-BE49-F238E27FC236}">
              <a16:creationId xmlns:a16="http://schemas.microsoft.com/office/drawing/2014/main" id="{C76684D8-1AEA-4D32-87DB-84B0CC3D2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533401</xdr:colOff>
      <xdr:row>5</xdr:row>
      <xdr:rowOff>138114</xdr:rowOff>
    </xdr:from>
    <xdr:to>
      <xdr:col>10</xdr:col>
      <xdr:colOff>300038</xdr:colOff>
      <xdr:row>6</xdr:row>
      <xdr:rowOff>123826</xdr:rowOff>
    </xdr:to>
    <xdr:sp macro="" textlink="">
      <xdr:nvSpPr>
        <xdr:cNvPr id="42" name="TextBox 41">
          <a:extLst>
            <a:ext uri="{FF2B5EF4-FFF2-40B4-BE49-F238E27FC236}">
              <a16:creationId xmlns:a16="http://schemas.microsoft.com/office/drawing/2014/main" id="{57660442-4803-A779-2E09-E87E76876AB1}"/>
            </a:ext>
          </a:extLst>
        </xdr:cNvPr>
        <xdr:cNvSpPr txBox="1"/>
      </xdr:nvSpPr>
      <xdr:spPr>
        <a:xfrm>
          <a:off x="5410201" y="1042989"/>
          <a:ext cx="985837"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Gender Wise</a:t>
          </a:r>
          <a:r>
            <a:rPr lang="en-IN" sz="700" baseline="0"/>
            <a:t> Analysis</a:t>
          </a:r>
          <a:endParaRPr lang="en-IN" sz="700"/>
        </a:p>
      </xdr:txBody>
    </xdr:sp>
    <xdr:clientData/>
  </xdr:twoCellAnchor>
  <xdr:twoCellAnchor>
    <xdr:from>
      <xdr:col>6</xdr:col>
      <xdr:colOff>252413</xdr:colOff>
      <xdr:row>6</xdr:row>
      <xdr:rowOff>171450</xdr:rowOff>
    </xdr:from>
    <xdr:to>
      <xdr:col>10</xdr:col>
      <xdr:colOff>461963</xdr:colOff>
      <xdr:row>15</xdr:row>
      <xdr:rowOff>23813</xdr:rowOff>
    </xdr:to>
    <xdr:graphicFrame macro="">
      <xdr:nvGraphicFramePr>
        <xdr:cNvPr id="43" name="Chart 42">
          <a:extLst>
            <a:ext uri="{FF2B5EF4-FFF2-40B4-BE49-F238E27FC236}">
              <a16:creationId xmlns:a16="http://schemas.microsoft.com/office/drawing/2014/main" id="{36279818-5438-4490-9A5B-2454D570E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152400</xdr:colOff>
      <xdr:row>14</xdr:row>
      <xdr:rowOff>42863</xdr:rowOff>
    </xdr:from>
    <xdr:to>
      <xdr:col>9</xdr:col>
      <xdr:colOff>500063</xdr:colOff>
      <xdr:row>15</xdr:row>
      <xdr:rowOff>38101</xdr:rowOff>
    </xdr:to>
    <xdr:sp macro="" textlink="">
      <xdr:nvSpPr>
        <xdr:cNvPr id="44" name="TextBox 43">
          <a:extLst>
            <a:ext uri="{FF2B5EF4-FFF2-40B4-BE49-F238E27FC236}">
              <a16:creationId xmlns:a16="http://schemas.microsoft.com/office/drawing/2014/main" id="{59D8EEF1-F859-BAC3-A4BA-F02D073568F5}"/>
            </a:ext>
          </a:extLst>
        </xdr:cNvPr>
        <xdr:cNvSpPr txBox="1"/>
      </xdr:nvSpPr>
      <xdr:spPr>
        <a:xfrm>
          <a:off x="4419600" y="2576513"/>
          <a:ext cx="1566863" cy="17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No of patient by department referal</a:t>
          </a:r>
        </a:p>
      </xdr:txBody>
    </xdr:sp>
    <xdr:clientData/>
  </xdr:twoCellAnchor>
  <xdr:twoCellAnchor editAs="absolute">
    <xdr:from>
      <xdr:col>4</xdr:col>
      <xdr:colOff>433388</xdr:colOff>
      <xdr:row>0</xdr:row>
      <xdr:rowOff>38100</xdr:rowOff>
    </xdr:from>
    <xdr:to>
      <xdr:col>6</xdr:col>
      <xdr:colOff>204788</xdr:colOff>
      <xdr:row>3</xdr:row>
      <xdr:rowOff>4763</xdr:rowOff>
    </xdr:to>
    <mc:AlternateContent xmlns:mc="http://schemas.openxmlformats.org/markup-compatibility/2006">
      <mc:Choice xmlns:a14="http://schemas.microsoft.com/office/drawing/2010/main" Requires="a14">
        <xdr:graphicFrame macro="">
          <xdr:nvGraphicFramePr>
            <xdr:cNvPr id="45" name="Date (Year)">
              <a:extLst>
                <a:ext uri="{FF2B5EF4-FFF2-40B4-BE49-F238E27FC236}">
                  <a16:creationId xmlns:a16="http://schemas.microsoft.com/office/drawing/2014/main" id="{CE81538F-989E-432F-9179-453A9E46CD0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871788" y="38100"/>
              <a:ext cx="990600" cy="50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3</xdr:row>
      <xdr:rowOff>68580</xdr:rowOff>
    </xdr:from>
    <xdr:to>
      <xdr:col>12</xdr:col>
      <xdr:colOff>327660</xdr:colOff>
      <xdr:row>15</xdr:row>
      <xdr:rowOff>121920</xdr:rowOff>
    </xdr:to>
    <xdr:graphicFrame macro="">
      <xdr:nvGraphicFramePr>
        <xdr:cNvPr id="3" name="Chart 2">
          <a:extLst>
            <a:ext uri="{FF2B5EF4-FFF2-40B4-BE49-F238E27FC236}">
              <a16:creationId xmlns:a16="http://schemas.microsoft.com/office/drawing/2014/main" id="{3EBCAFF2-04AE-4869-B9B6-C98226B41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403860</xdr:colOff>
      <xdr:row>15</xdr:row>
      <xdr:rowOff>167640</xdr:rowOff>
    </xdr:from>
    <xdr:to>
      <xdr:col>13</xdr:col>
      <xdr:colOff>365760</xdr:colOff>
      <xdr:row>17</xdr:row>
      <xdr:rowOff>83820</xdr:rowOff>
    </xdr:to>
    <xdr:sp macro="" textlink="">
      <xdr:nvSpPr>
        <xdr:cNvPr id="4" name="TextBox 3">
          <a:extLst>
            <a:ext uri="{FF2B5EF4-FFF2-40B4-BE49-F238E27FC236}">
              <a16:creationId xmlns:a16="http://schemas.microsoft.com/office/drawing/2014/main" id="{F3A288C0-9344-7A32-BB35-67C5C99DA9D6}"/>
            </a:ext>
          </a:extLst>
        </xdr:cNvPr>
        <xdr:cNvSpPr txBox="1"/>
      </xdr:nvSpPr>
      <xdr:spPr>
        <a:xfrm>
          <a:off x="1013460" y="2910840"/>
          <a:ext cx="7277100" cy="28194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Showing a daily</a:t>
          </a:r>
          <a:r>
            <a:rPr lang="en-IN" sz="1100" b="1" baseline="0"/>
            <a:t> trend with an area sparkline to spot patterns like busy days or seasonal trends</a:t>
          </a:r>
        </a:p>
        <a:p>
          <a:endParaRPr lang="en-IN" sz="1100" b="1"/>
        </a:p>
      </xdr:txBody>
    </xdr:sp>
    <xdr:clientData/>
  </xdr:twoCellAnchor>
  <xdr:twoCellAnchor editAs="oneCell">
    <xdr:from>
      <xdr:col>10</xdr:col>
      <xdr:colOff>53160</xdr:colOff>
      <xdr:row>16</xdr:row>
      <xdr:rowOff>106560</xdr:rowOff>
    </xdr:from>
    <xdr:to>
      <xdr:col>10</xdr:col>
      <xdr:colOff>53520</xdr:colOff>
      <xdr:row>16</xdr:row>
      <xdr:rowOff>106920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1618F1E0-8566-910B-3697-7709F969E79B}"/>
                </a:ext>
              </a:extLst>
            </xdr14:cNvPr>
            <xdr14:cNvContentPartPr/>
          </xdr14:nvContentPartPr>
          <xdr14:nvPr macro=""/>
          <xdr14:xfrm>
            <a:off x="6149160" y="3032640"/>
            <a:ext cx="360" cy="360"/>
          </xdr14:xfrm>
        </xdr:contentPart>
      </mc:Choice>
      <mc:Fallback xmlns="">
        <xdr:pic>
          <xdr:nvPicPr>
            <xdr:cNvPr id="6" name="Ink 5">
              <a:extLst>
                <a:ext uri="{FF2B5EF4-FFF2-40B4-BE49-F238E27FC236}">
                  <a16:creationId xmlns:a16="http://schemas.microsoft.com/office/drawing/2014/main" id="{1618F1E0-8566-910B-3697-7709F969E79B}"/>
                </a:ext>
              </a:extLst>
            </xdr:cNvPr>
            <xdr:cNvPicPr/>
          </xdr:nvPicPr>
          <xdr:blipFill>
            <a:blip xmlns:r="http://schemas.openxmlformats.org/officeDocument/2006/relationships" r:embed="rId3"/>
            <a:stretch>
              <a:fillRect/>
            </a:stretch>
          </xdr:blipFill>
          <xdr:spPr>
            <a:xfrm>
              <a:off x="6143040" y="3026520"/>
              <a:ext cx="12600" cy="12600"/>
            </a:xfrm>
            <a:prstGeom prst="rect">
              <a:avLst/>
            </a:prstGeom>
          </xdr:spPr>
        </xdr:pic>
      </mc:Fallback>
    </mc:AlternateContent>
    <xdr:clientData/>
  </xdr:twoCellAnchor>
  <xdr:twoCellAnchor editAs="oneCell">
    <xdr:from>
      <xdr:col>0</xdr:col>
      <xdr:colOff>99060</xdr:colOff>
      <xdr:row>0</xdr:row>
      <xdr:rowOff>30480</xdr:rowOff>
    </xdr:from>
    <xdr:to>
      <xdr:col>1</xdr:col>
      <xdr:colOff>7620</xdr:colOff>
      <xdr:row>3</xdr:row>
      <xdr:rowOff>0</xdr:rowOff>
    </xdr:to>
    <xdr:pic>
      <xdr:nvPicPr>
        <xdr:cNvPr id="8" name="Graphic 7" descr="Home with solid fill">
          <a:hlinkClick xmlns:r="http://schemas.openxmlformats.org/officeDocument/2006/relationships" r:id="rId4"/>
          <a:extLst>
            <a:ext uri="{FF2B5EF4-FFF2-40B4-BE49-F238E27FC236}">
              <a16:creationId xmlns:a16="http://schemas.microsoft.com/office/drawing/2014/main" id="{05BDAA79-8510-BA8E-9039-ACCCA7BB829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060" y="30480"/>
          <a:ext cx="518160" cy="5181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30480</xdr:rowOff>
    </xdr:from>
    <xdr:to>
      <xdr:col>15</xdr:col>
      <xdr:colOff>129540</xdr:colOff>
      <xdr:row>18</xdr:row>
      <xdr:rowOff>91440</xdr:rowOff>
    </xdr:to>
    <xdr:graphicFrame macro="">
      <xdr:nvGraphicFramePr>
        <xdr:cNvPr id="2" name="Chart 1">
          <a:extLst>
            <a:ext uri="{FF2B5EF4-FFF2-40B4-BE49-F238E27FC236}">
              <a16:creationId xmlns:a16="http://schemas.microsoft.com/office/drawing/2014/main" id="{21BFEC2E-93DA-43DF-9D09-49D6DEEB1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419100</xdr:colOff>
      <xdr:row>18</xdr:row>
      <xdr:rowOff>144780</xdr:rowOff>
    </xdr:from>
    <xdr:to>
      <xdr:col>14</xdr:col>
      <xdr:colOff>30480</xdr:colOff>
      <xdr:row>20</xdr:row>
      <xdr:rowOff>129540</xdr:rowOff>
    </xdr:to>
    <xdr:sp macro="" textlink="">
      <xdr:nvSpPr>
        <xdr:cNvPr id="3" name="TextBox 2">
          <a:extLst>
            <a:ext uri="{FF2B5EF4-FFF2-40B4-BE49-F238E27FC236}">
              <a16:creationId xmlns:a16="http://schemas.microsoft.com/office/drawing/2014/main" id="{C0F54B50-053A-6369-35B1-AD708C8F1895}"/>
            </a:ext>
          </a:extLst>
        </xdr:cNvPr>
        <xdr:cNvSpPr txBox="1"/>
      </xdr:nvSpPr>
      <xdr:spPr>
        <a:xfrm>
          <a:off x="1028700" y="3436620"/>
          <a:ext cx="753618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Arial" panose="020B0604020202020204" pitchFamily="34" charset="0"/>
            <a:buChar char="•"/>
          </a:pPr>
          <a:r>
            <a:rPr lang="en-IN" sz="1100" b="1"/>
            <a:t>Use an area chart to track daily chnages and highlights days with longer wait times that</a:t>
          </a:r>
          <a:r>
            <a:rPr lang="en-IN" sz="1100" b="1" baseline="0"/>
            <a:t> might need improements</a:t>
          </a:r>
          <a:endParaRPr lang="en-IN" sz="11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0.0429</cdr:x>
      <cdr:y>0.11818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30D5EE6-E055-825A-E102-1E7A5A7996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96240" cy="39624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15240</xdr:colOff>
      <xdr:row>0</xdr:row>
      <xdr:rowOff>0</xdr:rowOff>
    </xdr:from>
    <xdr:to>
      <xdr:col>12</xdr:col>
      <xdr:colOff>167640</xdr:colOff>
      <xdr:row>17</xdr:row>
      <xdr:rowOff>30480</xdr:rowOff>
    </xdr:to>
    <xdr:graphicFrame macro="">
      <xdr:nvGraphicFramePr>
        <xdr:cNvPr id="2" name="Chart 1">
          <a:extLst>
            <a:ext uri="{FF2B5EF4-FFF2-40B4-BE49-F238E27FC236}">
              <a16:creationId xmlns:a16="http://schemas.microsoft.com/office/drawing/2014/main" id="{10D530FA-8CCE-4F25-A882-73C3256C7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0.04898</cdr:x>
      <cdr:y>0.1165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6321413-372E-7F99-1A74-B5F83446E7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5760" cy="365760"/>
        </a:xfrm>
        <a:prstGeom xmlns:a="http://schemas.openxmlformats.org/drawingml/2006/main" prst="rect">
          <a:avLst/>
        </a:prstGeom>
      </cdr:spPr>
    </cdr:pic>
  </cdr:relSizeAnchor>
</c:userShape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6T15:29:58.295"/>
    </inkml:context>
    <inkml:brush xml:id="br0">
      <inkml:brushProperty name="width" value="0.035" units="cm"/>
      <inkml:brushProperty name="height" value="0.035" units="cm"/>
    </inkml:brush>
  </inkml:definitions>
  <inkml:trace contextRef="#ctx0" brushRef="#br0">1 0 24575</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777778" createdVersion="5" refreshedVersion="8" minRefreshableVersion="3" recordCount="0" supportSubquery="1" supportAdvancedDrill="1" xr:uid="{D2BA5049-166B-438C-A9A1-56D3B31702AB}">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8009257" createdVersion="5" refreshedVersion="8" minRefreshableVersion="3" recordCount="0" supportSubquery="1" supportAdvancedDrill="1" xr:uid="{878A2B7E-90A0-4E87-85C4-ECDC14062FB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8125003" createdVersion="5" refreshedVersion="8" minRefreshableVersion="3" recordCount="0" supportSubquery="1" supportAdvancedDrill="1" xr:uid="{9C224952-450D-4FA6-9E35-DCCCC50CB62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8240741" createdVersion="5" refreshedVersion="8" minRefreshableVersion="3" recordCount="0" supportSubquery="1" supportAdvancedDrill="1" xr:uid="{247806F2-EA98-4EE9-8B28-5ACC1AB7A96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8587965" createdVersion="5" refreshedVersion="8" minRefreshableVersion="3" recordCount="0" supportSubquery="1" supportAdvancedDrill="1" xr:uid="{4263A9C0-D369-4EF8-8303-BF17B556E542}">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8935188" createdVersion="5" refreshedVersion="8" minRefreshableVersion="3" recordCount="0" supportSubquery="1" supportAdvancedDrill="1" xr:uid="{40A347AA-8EB4-4600-837E-146D88A9DC5D}">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9282404" createdVersion="5" refreshedVersion="8" minRefreshableVersion="3" recordCount="0" supportSubquery="1" supportAdvancedDrill="1" xr:uid="{4A9698EB-857F-43D3-B069-208B84E98444}">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29745373" createdVersion="5" refreshedVersion="8" minRefreshableVersion="3" recordCount="0" supportSubquery="1" supportAdvancedDrill="1" xr:uid="{DDF1D491-3FEB-418B-BF70-D580DA76DA7B}">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30092589" createdVersion="5" refreshedVersion="8" minRefreshableVersion="3" recordCount="0" supportSubquery="1" supportAdvancedDrill="1" xr:uid="{41FFC627-8994-46C2-B355-B39E6A0B40C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30439812" createdVersion="5" refreshedVersion="8" minRefreshableVersion="3" recordCount="0" supportSubquery="1" supportAdvancedDrill="1" xr:uid="{599683F9-6840-4E32-86F9-D2816F8DDF3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30787036" createdVersion="5" refreshedVersion="8" minRefreshableVersion="3" recordCount="0" supportSubquery="1" supportAdvancedDrill="1" xr:uid="{9548878D-E9AB-4EA5-8193-BF5A02317A4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93131134259" createdVersion="5" refreshedVersion="8" minRefreshableVersion="3" recordCount="0" supportSubquery="1" supportAdvancedDrill="1" xr:uid="{E0722493-E8CF-4B41-8931-21564432B855}">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987618981482" createdVersion="3" refreshedVersion="8" minRefreshableVersion="3" recordCount="0" supportSubquery="1" supportAdvancedDrill="1" xr:uid="{5FC3318D-0F46-41A9-A49B-1CFA540978AC}">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274799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955D2-05B1-45B5-B985-9689AC132E34}" name="PivotTable12" cacheId="1451"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chartFormat="28">
  <location ref="A90:A92"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25">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F6AA0-9978-4941-9F96-D36BC463EF57}" name="PivotTable11" cacheId="1448"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chartFormat="28">
  <location ref="A78:B87" firstHeaderRow="1" firstDataRow="1" firstDataCol="1"/>
  <pivotFields count="4">
    <pivotField allDrilled="1" subtotalTop="0" showAll="0" dataSourceSort="1" defaultSubtotal="0" defaultAttributeDrillState="1"/>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155">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FB5812-57AC-4905-8CC8-61328B39F03F}" name="PivotTable10" cacheId="1445"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chartFormat="25">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1" baseItem="0"/>
  </dataFields>
  <formats count="1">
    <format dxfId="156">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12C08-0947-42D4-9341-CD407DBFCA3C}" name="PivotTable9" cacheId="1442"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chartFormat="16">
  <location ref="A63: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57">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91DFD0-6B5E-4F1E-8043-08FD5B3CCC3C}" name="PivotTable7" cacheId="1439"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chartFormat="8">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58">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5"/>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11292-EFA7-4839-AA37-31FC0C4BA963}" name="PivotTable3" cacheId="1427"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3">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51E3C-F10A-4F6F-B9ED-D0554A242022}" name="PivotTable2" cacheId="1424" applyNumberFormats="0" applyBorderFormats="0" applyFontFormats="0" applyPatternFormats="0" applyAlignmentFormats="0" applyWidthHeightFormats="1" dataCaption="Values" tag="eacffda2-2119-45c8-97c1-a0b2d76d50aa"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4">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9F5876-B696-4A4C-B287-91A3019E1E85}" name="PivotTable1" cacheId="1421" applyNumberFormats="0" applyBorderFormats="0" applyFontFormats="0" applyPatternFormats="0" applyAlignmentFormats="0" applyWidthHeightFormats="1" dataCaption="Values" tag="5d665e72-5258-429e-968e-2937a0ff92c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F4F527-0FDF-4765-818E-9320F9EB3D62}" name="PivotTable8" cacheId="1436" applyNumberFormats="0" applyBorderFormats="0" applyFontFormats="0" applyPatternFormats="0" applyAlignmentFormats="0" applyWidthHeightFormats="1" dataCaption="Values" tag="a805dc72-ccba-428d-99ce-73625a233ac4" updatedVersion="8" minRefreshableVersion="3" subtotalHiddenItems="1" itemPrintTitles="1" createdVersion="5" indent="0" outline="1" outlineData="1" multipleFieldFilters="0" chartFormat="5">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59">
      <pivotArea outline="0" collapsedLevelsAreSubtotals="1" fieldPosition="0"/>
    </format>
    <format dxfId="160">
      <pivotArea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DF5E8E-AB03-4944-92BC-19831BF8F150}" name="PivotTable6" cacheId="1433" applyNumberFormats="0" applyBorderFormats="0" applyFontFormats="0" applyPatternFormats="0" applyAlignmentFormats="0" applyWidthHeightFormats="1" dataCaption="Values" tag="112f5c65-74ca-4868-ae8c-f79894a30160" updatedVersion="8" minRefreshableVersion="3" subtotalHiddenItems="1" itemPrintTitles="1" createdVersion="5" indent="0" outline="1" outlineData="1" multipleFieldFilters="0" chartFormat="26">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61">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147991-4B30-49E5-8ECA-1229CFB31655}" name="PivotTable4" cacheId="1418" applyNumberFormats="0" applyBorderFormats="0" applyFontFormats="0" applyPatternFormats="0" applyAlignmentFormats="0" applyWidthHeightFormats="1" dataCaption="Values" tag="1003d2b4-5087-4f99-aea7-a8f20a21b446" updatedVersion="8" minRefreshableVersion="3" subtotalHiddenItems="1" itemPrintTitles="1" createdVersion="5" indent="0" outline="1" outlineData="1" multipleFieldFilters="0" chartFormat="14">
  <location ref="D4:E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2" subtotal="count" baseField="0" baseItem="0"/>
  </dataFields>
  <chartFormats count="2">
    <chartFormat chart="8" format="7"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caption="Distinct Count of Patient Admission 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3368BC-1DFD-4E48-89F7-178AE7BBAF0A}" name="PivotTable5" cacheId="1430" applyNumberFormats="0" applyBorderFormats="0" applyFontFormats="0" applyPatternFormats="0" applyAlignmentFormats="0" applyWidthHeightFormats="1" dataCaption="Values" tag="014ee0ff-f43f-4548-a19a-2255667e9d1d" updatedVersion="8" minRefreshableVersion="3" subtotalHiddenItems="1" itemPrintTitles="1" createdVersion="5" indent="0" outline="1" outlineData="1" multipleFieldFilters="0" chartFormat="20">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62">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2227F32-CDB8-45C9-BCD7-CC6BF3444F8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7"/>
    <pivotTable tabId="1" name="PivotTable9"/>
    <pivotTable tabId="1" name="PivotTable10"/>
    <pivotTable tabId="1" name="PivotTable11"/>
    <pivotTable tabId="1" name="PivotTable12"/>
  </pivotTables>
  <data>
    <olap pivotCacheId="2127479993">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0F5A84C-F1DD-4227-A7C2-9C04D488ECD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2747999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5B34FA8-3B10-4059-B252-A529CC13C6E6}" cache="Slicer_Date__Month" caption="Date (Month)" showCaption="0" level="1" style="MyStyle" rowHeight="133200"/>
  <slicer name="Date (Year)" xr10:uid="{751029CE-D2EE-4D30-9436-B7ACE8B0169B}" cache="Slicer_Date__Year" caption="Date (Year)" columnCount="2" showCaption="0" level="1" style="My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B8EA-A602-446B-B92B-09E91344BD61}">
  <dimension ref="A3:M92"/>
  <sheetViews>
    <sheetView topLeftCell="A23" workbookViewId="0">
      <selection activeCell="C39" sqref="C39"/>
    </sheetView>
  </sheetViews>
  <sheetFormatPr defaultRowHeight="14.4" x14ac:dyDescent="0.3"/>
  <cols>
    <col min="1" max="1" width="17.109375" customWidth="1"/>
    <col min="2" max="2" width="28.109375" bestFit="1" customWidth="1"/>
    <col min="3" max="3" width="9.77734375" customWidth="1"/>
    <col min="4" max="4" width="17.109375" customWidth="1"/>
    <col min="5" max="5" width="13.33203125" customWidth="1"/>
    <col min="6" max="6" width="6.6640625" customWidth="1"/>
    <col min="8" max="8" width="12.5546875" bestFit="1" customWidth="1"/>
    <col min="9" max="9" width="23.88671875" bestFit="1" customWidth="1"/>
    <col min="12" max="12" width="12.5546875" bestFit="1" customWidth="1"/>
    <col min="13" max="13" width="25" bestFit="1" customWidth="1"/>
  </cols>
  <sheetData>
    <row r="3" spans="1:13" x14ac:dyDescent="0.3">
      <c r="A3" t="s">
        <v>1</v>
      </c>
      <c r="D3" t="s">
        <v>7</v>
      </c>
      <c r="H3" t="s">
        <v>8</v>
      </c>
      <c r="L3" t="s">
        <v>9</v>
      </c>
    </row>
    <row r="4" spans="1:13" x14ac:dyDescent="0.3">
      <c r="A4" t="s">
        <v>0</v>
      </c>
      <c r="D4" s="1" t="s">
        <v>5</v>
      </c>
      <c r="E4" t="s">
        <v>13</v>
      </c>
      <c r="H4" s="1" t="s">
        <v>5</v>
      </c>
      <c r="I4" t="s">
        <v>2</v>
      </c>
      <c r="L4" s="1" t="s">
        <v>5</v>
      </c>
      <c r="M4" t="s">
        <v>3</v>
      </c>
    </row>
    <row r="5" spans="1:13" x14ac:dyDescent="0.3">
      <c r="A5" s="12">
        <v>479</v>
      </c>
      <c r="D5" s="4" t="s">
        <v>14</v>
      </c>
      <c r="E5" s="12">
        <v>19</v>
      </c>
      <c r="H5" s="4" t="s">
        <v>14</v>
      </c>
      <c r="I5" s="2">
        <v>40.473684210526315</v>
      </c>
      <c r="L5" s="4" t="s">
        <v>14</v>
      </c>
      <c r="M5" s="2">
        <v>3.8</v>
      </c>
    </row>
    <row r="6" spans="1:13" x14ac:dyDescent="0.3">
      <c r="D6" s="4" t="s">
        <v>15</v>
      </c>
      <c r="E6" s="12">
        <v>13</v>
      </c>
      <c r="H6" s="4" t="s">
        <v>15</v>
      </c>
      <c r="I6" s="2">
        <v>29.46153846153846</v>
      </c>
      <c r="L6" s="4" t="s">
        <v>15</v>
      </c>
      <c r="M6" s="2">
        <v>7.75</v>
      </c>
    </row>
    <row r="7" spans="1:13" x14ac:dyDescent="0.3">
      <c r="D7" s="4" t="s">
        <v>16</v>
      </c>
      <c r="E7" s="12">
        <v>14</v>
      </c>
      <c r="H7" s="4" t="s">
        <v>16</v>
      </c>
      <c r="I7" s="2">
        <v>33.928571428571431</v>
      </c>
      <c r="L7" s="4" t="s">
        <v>16</v>
      </c>
      <c r="M7" s="2">
        <v>4.5999999999999996</v>
      </c>
    </row>
    <row r="8" spans="1:13" x14ac:dyDescent="0.3">
      <c r="A8" t="s">
        <v>2</v>
      </c>
      <c r="D8" s="4" t="s">
        <v>17</v>
      </c>
      <c r="E8" s="12">
        <v>9</v>
      </c>
      <c r="H8" s="4" t="s">
        <v>17</v>
      </c>
      <c r="I8" s="2">
        <v>32.222222222222221</v>
      </c>
      <c r="L8" s="4" t="s">
        <v>17</v>
      </c>
      <c r="M8" s="2">
        <v>6</v>
      </c>
    </row>
    <row r="9" spans="1:13" x14ac:dyDescent="0.3">
      <c r="A9" s="2">
        <v>34.90187891440501</v>
      </c>
      <c r="D9" s="4" t="s">
        <v>18</v>
      </c>
      <c r="E9" s="12">
        <v>19</v>
      </c>
      <c r="H9" s="4" t="s">
        <v>18</v>
      </c>
      <c r="I9" s="2">
        <v>35.736842105263158</v>
      </c>
      <c r="L9" s="4" t="s">
        <v>18</v>
      </c>
      <c r="M9" s="2">
        <v>5.5714285714285712</v>
      </c>
    </row>
    <row r="10" spans="1:13" x14ac:dyDescent="0.3">
      <c r="D10" s="4" t="s">
        <v>19</v>
      </c>
      <c r="E10" s="12">
        <v>14</v>
      </c>
      <c r="H10" s="4" t="s">
        <v>19</v>
      </c>
      <c r="I10" s="2">
        <v>30.142857142857142</v>
      </c>
      <c r="L10" s="4" t="s">
        <v>19</v>
      </c>
      <c r="M10" s="2">
        <v>2</v>
      </c>
    </row>
    <row r="11" spans="1:13" x14ac:dyDescent="0.3">
      <c r="D11" s="4" t="s">
        <v>20</v>
      </c>
      <c r="E11" s="12">
        <v>11</v>
      </c>
      <c r="H11" s="4" t="s">
        <v>20</v>
      </c>
      <c r="I11" s="2">
        <v>33.81818181818182</v>
      </c>
      <c r="L11" s="4" t="s">
        <v>20</v>
      </c>
      <c r="M11" s="2">
        <v>8</v>
      </c>
    </row>
    <row r="12" spans="1:13" x14ac:dyDescent="0.3">
      <c r="D12" s="4" t="s">
        <v>21</v>
      </c>
      <c r="E12" s="12">
        <v>22</v>
      </c>
      <c r="H12" s="4" t="s">
        <v>21</v>
      </c>
      <c r="I12" s="2">
        <v>31.681818181818183</v>
      </c>
      <c r="L12" s="4" t="s">
        <v>21</v>
      </c>
      <c r="M12" s="2">
        <v>8</v>
      </c>
    </row>
    <row r="13" spans="1:13" x14ac:dyDescent="0.3">
      <c r="A13" t="s">
        <v>3</v>
      </c>
      <c r="D13" s="4" t="s">
        <v>22</v>
      </c>
      <c r="E13" s="12">
        <v>12</v>
      </c>
      <c r="H13" s="4" t="s">
        <v>22</v>
      </c>
      <c r="I13" s="2">
        <v>36.416666666666664</v>
      </c>
      <c r="L13" s="4" t="s">
        <v>22</v>
      </c>
      <c r="M13" s="2">
        <v>5.25</v>
      </c>
    </row>
    <row r="14" spans="1:13" x14ac:dyDescent="0.3">
      <c r="A14" s="2">
        <v>5.3034482758620687</v>
      </c>
      <c r="D14" s="4" t="s">
        <v>23</v>
      </c>
      <c r="E14" s="12">
        <v>13</v>
      </c>
      <c r="H14" s="4" t="s">
        <v>23</v>
      </c>
      <c r="I14" s="2">
        <v>33.692307692307693</v>
      </c>
      <c r="L14" s="4" t="s">
        <v>23</v>
      </c>
      <c r="M14" s="2">
        <v>6</v>
      </c>
    </row>
    <row r="15" spans="1:13" x14ac:dyDescent="0.3">
      <c r="D15" s="4" t="s">
        <v>24</v>
      </c>
      <c r="E15" s="12">
        <v>17</v>
      </c>
      <c r="H15" s="4" t="s">
        <v>24</v>
      </c>
      <c r="I15" s="2">
        <v>39.117647058823529</v>
      </c>
      <c r="L15" s="4" t="s">
        <v>24</v>
      </c>
      <c r="M15" s="2">
        <v>6.5</v>
      </c>
    </row>
    <row r="16" spans="1:13" x14ac:dyDescent="0.3">
      <c r="D16" s="4" t="s">
        <v>25</v>
      </c>
      <c r="E16" s="12">
        <v>30</v>
      </c>
      <c r="H16" s="4" t="s">
        <v>25</v>
      </c>
      <c r="I16" s="2">
        <v>36.93333333333333</v>
      </c>
      <c r="L16" s="4" t="s">
        <v>25</v>
      </c>
      <c r="M16" s="2">
        <v>5.75</v>
      </c>
    </row>
    <row r="17" spans="4:13" x14ac:dyDescent="0.3">
      <c r="D17" s="4" t="s">
        <v>26</v>
      </c>
      <c r="E17" s="12">
        <v>13</v>
      </c>
      <c r="H17" s="4" t="s">
        <v>26</v>
      </c>
      <c r="I17" s="2">
        <v>29.923076923076923</v>
      </c>
      <c r="L17" s="4" t="s">
        <v>26</v>
      </c>
      <c r="M17" s="2">
        <v>5.6</v>
      </c>
    </row>
    <row r="18" spans="4:13" x14ac:dyDescent="0.3">
      <c r="D18" s="4" t="s">
        <v>27</v>
      </c>
      <c r="E18" s="12">
        <v>21</v>
      </c>
      <c r="H18" s="4" t="s">
        <v>27</v>
      </c>
      <c r="I18" s="2">
        <v>31.666666666666668</v>
      </c>
      <c r="L18" s="4" t="s">
        <v>27</v>
      </c>
      <c r="M18" s="2">
        <v>6.5</v>
      </c>
    </row>
    <row r="19" spans="4:13" x14ac:dyDescent="0.3">
      <c r="D19" s="4" t="s">
        <v>28</v>
      </c>
      <c r="E19" s="12">
        <v>12</v>
      </c>
      <c r="H19" s="4" t="s">
        <v>28</v>
      </c>
      <c r="I19" s="2">
        <v>40.25</v>
      </c>
      <c r="L19" s="4" t="s">
        <v>28</v>
      </c>
      <c r="M19" s="2">
        <v>5.666666666666667</v>
      </c>
    </row>
    <row r="20" spans="4:13" x14ac:dyDescent="0.3">
      <c r="D20" s="4" t="s">
        <v>29</v>
      </c>
      <c r="E20" s="12">
        <v>17</v>
      </c>
      <c r="H20" s="4" t="s">
        <v>29</v>
      </c>
      <c r="I20" s="2">
        <v>30</v>
      </c>
      <c r="L20" s="4" t="s">
        <v>29</v>
      </c>
      <c r="M20" s="2">
        <v>5.666666666666667</v>
      </c>
    </row>
    <row r="21" spans="4:13" x14ac:dyDescent="0.3">
      <c r="D21" s="4" t="s">
        <v>30</v>
      </c>
      <c r="E21" s="12">
        <v>16</v>
      </c>
      <c r="H21" s="4" t="s">
        <v>30</v>
      </c>
      <c r="I21" s="2">
        <v>35</v>
      </c>
      <c r="L21" s="4" t="s">
        <v>30</v>
      </c>
      <c r="M21" s="2">
        <v>5.8</v>
      </c>
    </row>
    <row r="22" spans="4:13" x14ac:dyDescent="0.3">
      <c r="D22" s="4" t="s">
        <v>31</v>
      </c>
      <c r="E22" s="12">
        <v>20</v>
      </c>
      <c r="H22" s="4" t="s">
        <v>31</v>
      </c>
      <c r="I22" s="2">
        <v>41.85</v>
      </c>
      <c r="L22" s="4" t="s">
        <v>31</v>
      </c>
      <c r="M22" s="2">
        <v>4.666666666666667</v>
      </c>
    </row>
    <row r="23" spans="4:13" x14ac:dyDescent="0.3">
      <c r="D23" s="4" t="s">
        <v>32</v>
      </c>
      <c r="E23" s="12">
        <v>18</v>
      </c>
      <c r="H23" s="4" t="s">
        <v>32</v>
      </c>
      <c r="I23" s="2">
        <v>33.277777777777779</v>
      </c>
      <c r="L23" s="4" t="s">
        <v>32</v>
      </c>
      <c r="M23" s="2">
        <v>4.833333333333333</v>
      </c>
    </row>
    <row r="24" spans="4:13" x14ac:dyDescent="0.3">
      <c r="D24" s="4" t="s">
        <v>33</v>
      </c>
      <c r="E24" s="12">
        <v>16</v>
      </c>
      <c r="H24" s="4" t="s">
        <v>33</v>
      </c>
      <c r="I24" s="2">
        <v>32.9375</v>
      </c>
      <c r="L24" s="4" t="s">
        <v>33</v>
      </c>
      <c r="M24" s="2">
        <v>2.3333333333333335</v>
      </c>
    </row>
    <row r="25" spans="4:13" x14ac:dyDescent="0.3">
      <c r="D25" s="4" t="s">
        <v>34</v>
      </c>
      <c r="E25" s="12">
        <v>15</v>
      </c>
      <c r="H25" s="4" t="s">
        <v>34</v>
      </c>
      <c r="I25" s="2">
        <v>33.266666666666666</v>
      </c>
      <c r="L25" s="4" t="s">
        <v>34</v>
      </c>
      <c r="M25" s="2">
        <v>4.5</v>
      </c>
    </row>
    <row r="26" spans="4:13" x14ac:dyDescent="0.3">
      <c r="D26" s="4" t="s">
        <v>35</v>
      </c>
      <c r="E26" s="12">
        <v>18</v>
      </c>
      <c r="H26" s="4" t="s">
        <v>35</v>
      </c>
      <c r="I26" s="2">
        <v>34.444444444444443</v>
      </c>
      <c r="L26" s="4" t="s">
        <v>35</v>
      </c>
      <c r="M26" s="2">
        <v>6.666666666666667</v>
      </c>
    </row>
    <row r="27" spans="4:13" x14ac:dyDescent="0.3">
      <c r="D27" s="4" t="s">
        <v>36</v>
      </c>
      <c r="E27" s="12">
        <v>12</v>
      </c>
      <c r="H27" s="4" t="s">
        <v>36</v>
      </c>
      <c r="I27" s="2">
        <v>43.416666666666664</v>
      </c>
      <c r="L27" s="4" t="s">
        <v>36</v>
      </c>
      <c r="M27" s="2">
        <v>7.5</v>
      </c>
    </row>
    <row r="28" spans="4:13" x14ac:dyDescent="0.3">
      <c r="D28" s="4" t="s">
        <v>37</v>
      </c>
      <c r="E28" s="12">
        <v>14</v>
      </c>
      <c r="H28" s="4" t="s">
        <v>37</v>
      </c>
      <c r="I28" s="2">
        <v>36.357142857142854</v>
      </c>
      <c r="L28" s="4" t="s">
        <v>37</v>
      </c>
      <c r="M28" s="2">
        <v>5.2857142857142856</v>
      </c>
    </row>
    <row r="29" spans="4:13" x14ac:dyDescent="0.3">
      <c r="D29" s="4" t="s">
        <v>38</v>
      </c>
      <c r="E29" s="12">
        <v>18</v>
      </c>
      <c r="H29" s="4" t="s">
        <v>38</v>
      </c>
      <c r="I29" s="2">
        <v>40.611111111111114</v>
      </c>
      <c r="L29" s="4" t="s">
        <v>38</v>
      </c>
      <c r="M29" s="2">
        <v>2.875</v>
      </c>
    </row>
    <row r="30" spans="4:13" x14ac:dyDescent="0.3">
      <c r="D30" s="4" t="s">
        <v>39</v>
      </c>
      <c r="E30" s="12">
        <v>16</v>
      </c>
      <c r="H30" s="4" t="s">
        <v>39</v>
      </c>
      <c r="I30" s="2">
        <v>29.875</v>
      </c>
      <c r="L30" s="4" t="s">
        <v>39</v>
      </c>
      <c r="M30" s="2">
        <v>6.25</v>
      </c>
    </row>
    <row r="31" spans="4:13" x14ac:dyDescent="0.3">
      <c r="D31" s="4" t="s">
        <v>40</v>
      </c>
      <c r="E31" s="12">
        <v>16</v>
      </c>
      <c r="H31" s="4" t="s">
        <v>40</v>
      </c>
      <c r="I31" s="2">
        <v>33.5</v>
      </c>
      <c r="L31" s="4" t="s">
        <v>40</v>
      </c>
      <c r="M31" s="2">
        <v>6.125</v>
      </c>
    </row>
    <row r="32" spans="4:13" x14ac:dyDescent="0.3">
      <c r="D32" s="4" t="s">
        <v>41</v>
      </c>
      <c r="E32" s="12">
        <v>16</v>
      </c>
      <c r="H32" s="4" t="s">
        <v>41</v>
      </c>
      <c r="I32" s="2">
        <v>32.5625</v>
      </c>
      <c r="L32" s="4" t="s">
        <v>41</v>
      </c>
      <c r="M32" s="2">
        <v>5.75</v>
      </c>
    </row>
    <row r="33" spans="1:13" x14ac:dyDescent="0.3">
      <c r="D33" s="4" t="s">
        <v>42</v>
      </c>
      <c r="E33" s="12">
        <v>14</v>
      </c>
      <c r="H33" s="4" t="s">
        <v>42</v>
      </c>
      <c r="I33" s="2">
        <v>38.571428571428569</v>
      </c>
      <c r="L33" s="4" t="s">
        <v>42</v>
      </c>
      <c r="M33" s="2">
        <v>5.375</v>
      </c>
    </row>
    <row r="34" spans="1:13" x14ac:dyDescent="0.3">
      <c r="D34" s="4" t="s">
        <v>43</v>
      </c>
      <c r="E34" s="12">
        <v>14</v>
      </c>
      <c r="H34" s="4" t="s">
        <v>43</v>
      </c>
      <c r="I34" s="2">
        <v>32.714285714285715</v>
      </c>
      <c r="L34" s="4" t="s">
        <v>43</v>
      </c>
      <c r="M34" s="2">
        <v>5.6</v>
      </c>
    </row>
    <row r="35" spans="1:13" x14ac:dyDescent="0.3">
      <c r="D35" s="4" t="s">
        <v>6</v>
      </c>
      <c r="E35" s="12">
        <v>479</v>
      </c>
      <c r="H35" s="4" t="s">
        <v>6</v>
      </c>
      <c r="I35" s="2">
        <v>34.90187891440501</v>
      </c>
      <c r="L35" s="4" t="s">
        <v>6</v>
      </c>
      <c r="M35" s="2">
        <v>5.3034482758620687</v>
      </c>
    </row>
    <row r="37" spans="1:13" x14ac:dyDescent="0.3">
      <c r="A37" s="1" t="s">
        <v>5</v>
      </c>
      <c r="B37" t="s">
        <v>12</v>
      </c>
      <c r="C37" t="s">
        <v>44</v>
      </c>
    </row>
    <row r="38" spans="1:13" x14ac:dyDescent="0.3">
      <c r="A38" s="4" t="s">
        <v>10</v>
      </c>
      <c r="B38" s="5">
        <v>237</v>
      </c>
      <c r="C38" s="6">
        <v>0.49478079331941544</v>
      </c>
    </row>
    <row r="39" spans="1:13" x14ac:dyDescent="0.3">
      <c r="A39" s="4" t="s">
        <v>11</v>
      </c>
      <c r="B39" s="5">
        <v>242</v>
      </c>
      <c r="C39" s="6">
        <v>0.50521920668058451</v>
      </c>
    </row>
    <row r="40" spans="1:13" x14ac:dyDescent="0.3">
      <c r="A40" s="4" t="s">
        <v>6</v>
      </c>
      <c r="B40" s="5">
        <v>479</v>
      </c>
      <c r="C40" s="6">
        <v>1</v>
      </c>
    </row>
    <row r="44" spans="1:13" x14ac:dyDescent="0.3">
      <c r="A44" s="11" t="s">
        <v>45</v>
      </c>
      <c r="B44" s="11" t="s">
        <v>46</v>
      </c>
      <c r="C44" s="11" t="s">
        <v>47</v>
      </c>
      <c r="D44" s="7"/>
      <c r="E44" s="7"/>
      <c r="F44" s="7"/>
    </row>
    <row r="45" spans="1:13" x14ac:dyDescent="0.3">
      <c r="A45" s="9" t="str">
        <f>A39</f>
        <v>Not Admitted</v>
      </c>
      <c r="B45" s="9">
        <f>B39</f>
        <v>242</v>
      </c>
      <c r="C45" s="10">
        <f>C39</f>
        <v>0.50521920668058451</v>
      </c>
      <c r="D45" s="8"/>
      <c r="E45" s="8"/>
      <c r="F45" s="8"/>
    </row>
    <row r="46" spans="1:13" x14ac:dyDescent="0.3">
      <c r="A46" s="9" t="str">
        <f>A38</f>
        <v>Admitted</v>
      </c>
      <c r="B46" s="9">
        <f>B38</f>
        <v>237</v>
      </c>
      <c r="C46" s="10">
        <f>C38</f>
        <v>0.49478079331941544</v>
      </c>
      <c r="D46" s="8"/>
      <c r="E46" s="8"/>
      <c r="F46" s="8"/>
    </row>
    <row r="49" spans="1:2" x14ac:dyDescent="0.3">
      <c r="A49" t="s">
        <v>57</v>
      </c>
    </row>
    <row r="50" spans="1:2" x14ac:dyDescent="0.3">
      <c r="A50" s="1" t="s">
        <v>5</v>
      </c>
      <c r="B50" t="s">
        <v>56</v>
      </c>
    </row>
    <row r="51" spans="1:2" x14ac:dyDescent="0.3">
      <c r="A51" s="4" t="s">
        <v>48</v>
      </c>
      <c r="B51" s="5">
        <v>70</v>
      </c>
    </row>
    <row r="52" spans="1:2" x14ac:dyDescent="0.3">
      <c r="A52" s="4" t="s">
        <v>49</v>
      </c>
      <c r="B52" s="5">
        <v>67</v>
      </c>
    </row>
    <row r="53" spans="1:2" x14ac:dyDescent="0.3">
      <c r="A53" s="4" t="s">
        <v>50</v>
      </c>
      <c r="B53" s="5">
        <v>64</v>
      </c>
    </row>
    <row r="54" spans="1:2" x14ac:dyDescent="0.3">
      <c r="A54" s="4" t="s">
        <v>51</v>
      </c>
      <c r="B54" s="5">
        <v>60</v>
      </c>
    </row>
    <row r="55" spans="1:2" x14ac:dyDescent="0.3">
      <c r="A55" s="4" t="s">
        <v>52</v>
      </c>
      <c r="B55" s="5">
        <v>42</v>
      </c>
    </row>
    <row r="56" spans="1:2" x14ac:dyDescent="0.3">
      <c r="A56" s="4" t="s">
        <v>53</v>
      </c>
      <c r="B56" s="5">
        <v>53</v>
      </c>
    </row>
    <row r="57" spans="1:2" x14ac:dyDescent="0.3">
      <c r="A57" s="4" t="s">
        <v>54</v>
      </c>
      <c r="B57" s="5">
        <v>71</v>
      </c>
    </row>
    <row r="58" spans="1:2" x14ac:dyDescent="0.3">
      <c r="A58" s="4" t="s">
        <v>55</v>
      </c>
      <c r="B58" s="5">
        <v>52</v>
      </c>
    </row>
    <row r="59" spans="1:2" x14ac:dyDescent="0.3">
      <c r="A59" s="4" t="s">
        <v>6</v>
      </c>
      <c r="B59" s="5">
        <v>479</v>
      </c>
    </row>
    <row r="62" spans="1:2" x14ac:dyDescent="0.3">
      <c r="A62" s="4" t="s">
        <v>61</v>
      </c>
    </row>
    <row r="63" spans="1:2" x14ac:dyDescent="0.3">
      <c r="A63" s="1" t="s">
        <v>5</v>
      </c>
      <c r="B63" t="s">
        <v>60</v>
      </c>
    </row>
    <row r="64" spans="1:2" x14ac:dyDescent="0.3">
      <c r="A64" s="4" t="s">
        <v>59</v>
      </c>
      <c r="B64" s="5">
        <v>273</v>
      </c>
    </row>
    <row r="65" spans="1:2" x14ac:dyDescent="0.3">
      <c r="A65" s="4" t="s">
        <v>58</v>
      </c>
      <c r="B65" s="5">
        <v>206</v>
      </c>
    </row>
    <row r="66" spans="1:2" x14ac:dyDescent="0.3">
      <c r="A66" s="4" t="s">
        <v>6</v>
      </c>
      <c r="B66" s="5">
        <v>479</v>
      </c>
    </row>
    <row r="70" spans="1:2" x14ac:dyDescent="0.3">
      <c r="A70" t="s">
        <v>65</v>
      </c>
    </row>
    <row r="71" spans="1:2" x14ac:dyDescent="0.3">
      <c r="A71" s="1" t="s">
        <v>5</v>
      </c>
      <c r="B71" t="s">
        <v>64</v>
      </c>
    </row>
    <row r="72" spans="1:2" x14ac:dyDescent="0.3">
      <c r="A72" s="4" t="s">
        <v>62</v>
      </c>
      <c r="B72" s="5">
        <v>235</v>
      </c>
    </row>
    <row r="73" spans="1:2" x14ac:dyDescent="0.3">
      <c r="A73" s="4" t="s">
        <v>63</v>
      </c>
      <c r="B73" s="5">
        <v>244</v>
      </c>
    </row>
    <row r="74" spans="1:2" x14ac:dyDescent="0.3">
      <c r="A74" s="4" t="s">
        <v>6</v>
      </c>
      <c r="B74" s="5">
        <v>479</v>
      </c>
    </row>
    <row r="77" spans="1:2" x14ac:dyDescent="0.3">
      <c r="A77" s="4" t="s">
        <v>77</v>
      </c>
    </row>
    <row r="78" spans="1:2" x14ac:dyDescent="0.3">
      <c r="A78" s="1" t="s">
        <v>5</v>
      </c>
      <c r="B78" t="s">
        <v>74</v>
      </c>
    </row>
    <row r="79" spans="1:2" x14ac:dyDescent="0.3">
      <c r="A79" s="4" t="s">
        <v>73</v>
      </c>
      <c r="B79" s="5">
        <v>4</v>
      </c>
    </row>
    <row r="80" spans="1:2" x14ac:dyDescent="0.3">
      <c r="A80" s="4" t="s">
        <v>69</v>
      </c>
      <c r="B80" s="5">
        <v>11</v>
      </c>
    </row>
    <row r="81" spans="1:2" x14ac:dyDescent="0.3">
      <c r="A81" s="4" t="s">
        <v>72</v>
      </c>
      <c r="B81" s="5">
        <v>11</v>
      </c>
    </row>
    <row r="82" spans="1:2" x14ac:dyDescent="0.3">
      <c r="A82" s="4" t="s">
        <v>67</v>
      </c>
      <c r="B82" s="5">
        <v>12</v>
      </c>
    </row>
    <row r="83" spans="1:2" x14ac:dyDescent="0.3">
      <c r="A83" s="4" t="s">
        <v>66</v>
      </c>
      <c r="B83" s="5">
        <v>18</v>
      </c>
    </row>
    <row r="84" spans="1:2" x14ac:dyDescent="0.3">
      <c r="A84" s="4" t="s">
        <v>71</v>
      </c>
      <c r="B84" s="5">
        <v>45</v>
      </c>
    </row>
    <row r="85" spans="1:2" x14ac:dyDescent="0.3">
      <c r="A85" s="4" t="s">
        <v>68</v>
      </c>
      <c r="B85" s="5">
        <v>115</v>
      </c>
    </row>
    <row r="86" spans="1:2" x14ac:dyDescent="0.3">
      <c r="A86" s="4" t="s">
        <v>70</v>
      </c>
      <c r="B86" s="5">
        <v>263</v>
      </c>
    </row>
    <row r="87" spans="1:2" x14ac:dyDescent="0.3">
      <c r="A87" s="4" t="s">
        <v>6</v>
      </c>
      <c r="B87" s="5">
        <v>479</v>
      </c>
    </row>
    <row r="89" spans="1:2" x14ac:dyDescent="0.3">
      <c r="A89" s="4" t="s">
        <v>76</v>
      </c>
    </row>
    <row r="90" spans="1:2" x14ac:dyDescent="0.3">
      <c r="A90" s="1" t="s">
        <v>5</v>
      </c>
    </row>
    <row r="91" spans="1:2" x14ac:dyDescent="0.3">
      <c r="A91" s="4" t="s">
        <v>75</v>
      </c>
    </row>
    <row r="92" spans="1:2" x14ac:dyDescent="0.3">
      <c r="A92" s="4" t="s">
        <v>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B7E82-3E98-49DA-8E1F-1AAA1D5C54AE}">
  <dimension ref="L4"/>
  <sheetViews>
    <sheetView tabSelected="1" zoomScale="160" zoomScaleNormal="160" workbookViewId="0">
      <selection activeCell="L4" sqref="L4"/>
    </sheetView>
  </sheetViews>
  <sheetFormatPr defaultRowHeight="14.4" x14ac:dyDescent="0.3"/>
  <cols>
    <col min="1" max="16384" width="8.88671875" style="3"/>
  </cols>
  <sheetData>
    <row r="4" spans="12:12" x14ac:dyDescent="0.3">
      <c r="L4" s="3" t="s">
        <v>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5946-A664-404E-A566-C7B9A8D83F38}">
  <dimension ref="A1:N20"/>
  <sheetViews>
    <sheetView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6310E-3A34-44D4-ACB2-3B83316FC7FD}">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7DC0-68B9-44D9-B859-193A100BB826}">
  <dimension ref="A1"/>
  <sheetViews>
    <sheetView workbookViewId="0">
      <selection activeCell="B7" sqref="B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55E4434-05DC-44FF-9248-FEE206C18FC6}">
  <ds:schemaRefs>
    <ds:schemaRef ds:uri="http://schemas.microsoft.com/DataMashup"/>
  </ds:schemaRefs>
</ds:datastoreItem>
</file>

<file path=customXml/itemProps2.xml><?xml version="1.0" encoding="utf-8"?>
<ds:datastoreItem xmlns:ds="http://schemas.openxmlformats.org/officeDocument/2006/customXml" ds:itemID="{70B7571C-4F31-49B6-9E32-FF5D73214715}">
  <ds:schemaRefs/>
</ds:datastoreItem>
</file>

<file path=customXml/itemProps3.xml><?xml version="1.0" encoding="utf-8"?>
<ds:datastoreItem xmlns:ds="http://schemas.openxmlformats.org/officeDocument/2006/customXml" ds:itemID="{08DF3323-629F-4B31-8A23-4329077E3174}">
  <ds:schemaRefs/>
</ds:datastoreItem>
</file>

<file path=customXml/itemProps4.xml><?xml version="1.0" encoding="utf-8"?>
<ds:datastoreItem xmlns:ds="http://schemas.openxmlformats.org/officeDocument/2006/customXml" ds:itemID="{31946D93-45F2-4997-BA6C-0F9C612036A5}">
  <ds:schemaRefs/>
</ds:datastoreItem>
</file>

<file path=customXml/itemProps5.xml><?xml version="1.0" encoding="utf-8"?>
<ds:datastoreItem xmlns:ds="http://schemas.openxmlformats.org/officeDocument/2006/customXml" ds:itemID="{52FF89E9-07D2-4692-8334-87530CE1F4EE}">
  <ds:schemaRefs/>
</ds:datastoreItem>
</file>

<file path=customXml/itemProps6.xml><?xml version="1.0" encoding="utf-8"?>
<ds:datastoreItem xmlns:ds="http://schemas.openxmlformats.org/officeDocument/2006/customXml" ds:itemID="{F0463745-732A-4E9D-97D1-476D8AF7085E}">
  <ds:schemaRefs/>
</ds:datastoreItem>
</file>

<file path=customXml/itemProps7.xml><?xml version="1.0" encoding="utf-8"?>
<ds:datastoreItem xmlns:ds="http://schemas.openxmlformats.org/officeDocument/2006/customXml" ds:itemID="{32A01BF9-83D0-4E0D-845D-C649C0C83CF2}">
  <ds:schemaRefs/>
</ds:datastoreItem>
</file>

<file path=customXml/itemProps8.xml><?xml version="1.0" encoding="utf-8"?>
<ds:datastoreItem xmlns:ds="http://schemas.openxmlformats.org/officeDocument/2006/customXml" ds:itemID="{33640D88-1CF8-4A99-B225-1E57A1CA1A60}">
  <ds:schemaRefs/>
</ds:datastoreItem>
</file>

<file path=customXml/itemProps9.xml><?xml version="1.0" encoding="utf-8"?>
<ds:datastoreItem xmlns:ds="http://schemas.openxmlformats.org/officeDocument/2006/customXml" ds:itemID="{102C79F8-C8B3-4D31-916A-3BB34B77B9F5}">
  <ds:schemaRefs/>
</ds:datastoreItem>
</file>

<file path=customXml/itemProps10.xml><?xml version="1.0" encoding="utf-8"?>
<ds:datastoreItem xmlns:ds="http://schemas.openxmlformats.org/officeDocument/2006/customXml" ds:itemID="{1F167EA0-6242-481F-BEB0-CE62E7E44896}">
  <ds:schemaRefs/>
</ds:datastoreItem>
</file>

<file path=customXml/itemProps11.xml><?xml version="1.0" encoding="utf-8"?>
<ds:datastoreItem xmlns:ds="http://schemas.openxmlformats.org/officeDocument/2006/customXml" ds:itemID="{DE398879-C49D-497E-8EDB-8DA547477249}">
  <ds:schemaRefs/>
</ds:datastoreItem>
</file>

<file path=customXml/itemProps12.xml><?xml version="1.0" encoding="utf-8"?>
<ds:datastoreItem xmlns:ds="http://schemas.openxmlformats.org/officeDocument/2006/customXml" ds:itemID="{D2ABFF2E-CF23-4B81-97B2-2A384DFF0749}">
  <ds:schemaRefs/>
</ds:datastoreItem>
</file>

<file path=customXml/itemProps13.xml><?xml version="1.0" encoding="utf-8"?>
<ds:datastoreItem xmlns:ds="http://schemas.openxmlformats.org/officeDocument/2006/customXml" ds:itemID="{EB8F7633-3FFA-45D8-B6C2-32A864226CEB}">
  <ds:schemaRefs/>
</ds:datastoreItem>
</file>

<file path=customXml/itemProps14.xml><?xml version="1.0" encoding="utf-8"?>
<ds:datastoreItem xmlns:ds="http://schemas.openxmlformats.org/officeDocument/2006/customXml" ds:itemID="{FB2C4004-7A16-44AF-B7C4-7AF3BB3D7CC2}">
  <ds:schemaRefs/>
</ds:datastoreItem>
</file>

<file path=customXml/itemProps15.xml><?xml version="1.0" encoding="utf-8"?>
<ds:datastoreItem xmlns:ds="http://schemas.openxmlformats.org/officeDocument/2006/customXml" ds:itemID="{B727CEFB-24B3-468F-8E68-F69041B47FE8}">
  <ds:schemaRefs/>
</ds:datastoreItem>
</file>

<file path=customXml/itemProps16.xml><?xml version="1.0" encoding="utf-8"?>
<ds:datastoreItem xmlns:ds="http://schemas.openxmlformats.org/officeDocument/2006/customXml" ds:itemID="{04519E59-D25C-40DE-AA62-F7024B1E4A09}">
  <ds:schemaRefs/>
</ds:datastoreItem>
</file>

<file path=customXml/itemProps17.xml><?xml version="1.0" encoding="utf-8"?>
<ds:datastoreItem xmlns:ds="http://schemas.openxmlformats.org/officeDocument/2006/customXml" ds:itemID="{EA92CA1B-2197-4711-9177-F3DEFC60F5A2}">
  <ds:schemaRefs/>
</ds:datastoreItem>
</file>

<file path=customXml/itemProps18.xml><?xml version="1.0" encoding="utf-8"?>
<ds:datastoreItem xmlns:ds="http://schemas.openxmlformats.org/officeDocument/2006/customXml" ds:itemID="{DFC5D611-3AE6-4EAE-A298-70498889B0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Jaiswal</dc:creator>
  <cp:lastModifiedBy>Rashmi Jaiswal</cp:lastModifiedBy>
  <dcterms:created xsi:type="dcterms:W3CDTF">2025-12-15T10:37:28Z</dcterms:created>
  <dcterms:modified xsi:type="dcterms:W3CDTF">2025-12-17T18:23:31Z</dcterms:modified>
</cp:coreProperties>
</file>